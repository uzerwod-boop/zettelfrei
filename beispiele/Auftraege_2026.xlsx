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fträge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<sst xmlns="http://schemas.openxmlformats.org/spreadsheetml/2006/main" count="52" uniqueCount="48">
  <si>
    <t xml:space="preserve">Auftragsliste 2026</t>
  </si>
  <si>
    <t xml:space="preserve">Stand: 16.10.2026</t>
  </si>
  <si>
    <t xml:space="preserve">Auftrags-Nr</t>
  </si>
  <si>
    <t xml:space="preserve">Kunde</t>
  </si>
  <si>
    <t xml:space="preserve">Adresse</t>
  </si>
  <si>
    <t xml:space="preserve">Leistung</t>
  </si>
  <si>
    <t xml:space="preserve">Status</t>
  </si>
  <si>
    <t xml:space="preserve">Angebot netto €</t>
  </si>
  <si>
    <t xml:space="preserve">MwSt €</t>
  </si>
  <si>
    <t xml:space="preserve">Brutto €</t>
  </si>
  <si>
    <t xml:space="preserve">Rechnung am</t>
  </si>
  <si>
    <t xml:space="preserve">Bezahlt am</t>
  </si>
  <si>
    <t xml:space="preserve">2026-031</t>
  </si>
  <si>
    <t xml:space="preserve">Schneider, Petra</t>
  </si>
  <si>
    <t xml:space="preserve">Lindenstr. 8, 10969 Berlin</t>
  </si>
  <si>
    <t xml:space="preserve">Badsanierung komplett</t>
  </si>
  <si>
    <t xml:space="preserve">In Arbeit</t>
  </si>
  <si>
    <t xml:space="preserve">2026-032</t>
  </si>
  <si>
    <t xml:space="preserve">Yilmaz, Ahmet</t>
  </si>
  <si>
    <t xml:space="preserve">Sonnenallee 112, 12045 Berlin</t>
  </si>
  <si>
    <t xml:space="preserve">Küchenboden + Spiegel</t>
  </si>
  <si>
    <t xml:space="preserve">2026-033</t>
  </si>
  <si>
    <t xml:space="preserve">Praxis Dr. Hahn</t>
  </si>
  <si>
    <t xml:space="preserve">Kantstr. 41, 10625 Berlin</t>
  </si>
  <si>
    <t xml:space="preserve">Fugen- und Silikonsanierung</t>
  </si>
  <si>
    <t xml:space="preserve">Fertig</t>
  </si>
  <si>
    <t xml:space="preserve">2026-028</t>
  </si>
  <si>
    <t xml:space="preserve">Wohnbau Spree eG</t>
  </si>
  <si>
    <t xml:space="preserve">Am Treptower Park 3, 12435 Berlin</t>
  </si>
  <si>
    <t xml:space="preserve">Treppenhaus 4 Etagen</t>
  </si>
  <si>
    <t xml:space="preserve">Bezahlt</t>
  </si>
  <si>
    <t xml:space="preserve">2026-029</t>
  </si>
  <si>
    <t xml:space="preserve">Becker, Thomas</t>
  </si>
  <si>
    <t xml:space="preserve">Dorfstr. 5, 14532 Kleinmachnow</t>
  </si>
  <si>
    <t xml:space="preserve">Terrasse Feinsteinzeug</t>
  </si>
  <si>
    <t xml:space="preserve">2026-034</t>
  </si>
  <si>
    <t xml:space="preserve">Neumann, Lisa</t>
  </si>
  <si>
    <t xml:space="preserve">Boxhagener Str. 20, 10245 Berlin</t>
  </si>
  <si>
    <t xml:space="preserve">Gäste-WC</t>
  </si>
  <si>
    <t xml:space="preserve">Angebot</t>
  </si>
  <si>
    <t xml:space="preserve">2026-035</t>
  </si>
  <si>
    <t xml:space="preserve">Weserstr. 9, 12047 Berlin</t>
  </si>
  <si>
    <t xml:space="preserve">Duschwand Reparatur</t>
  </si>
  <si>
    <t xml:space="preserve">Hoffmann GmbH</t>
  </si>
  <si>
    <t xml:space="preserve">Friedrichstr. 77, 10117 Berlin</t>
  </si>
  <si>
    <t xml:space="preserve">Büroküche Wandfliesen</t>
  </si>
  <si>
    <t xml:space="preserve">Beauftragt</t>
  </si>
  <si>
    <t xml:space="preserve">Summe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</si>
</sst>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dd\.mm\.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0" t="s">
        <v>16</v>
      </c>
      <c r="F5" s="3" t="n">
        <v>14800</v>
      </c>
      <c r="G5" s="3" t="n">
        <f aca="false">ROUND(F5*0.19,2)</f>
        <v>2812</v>
      </c>
      <c r="H5" s="3" t="n">
        <f aca="false">F5+G5</f>
        <v>17612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  <c r="E6" s="0" t="s">
        <v>16</v>
      </c>
      <c r="F6" s="3" t="n">
        <v>6350</v>
      </c>
      <c r="G6" s="3" t="n">
        <f aca="false">ROUND(F6*0.19,2)</f>
        <v>1206.5</v>
      </c>
      <c r="H6" s="3" t="n">
        <f aca="false">F6+G6</f>
        <v>7556.5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  <c r="E7" s="0" t="s">
        <v>25</v>
      </c>
      <c r="F7" s="3" t="n">
        <v>1980</v>
      </c>
      <c r="G7" s="3" t="n">
        <f aca="false">ROUND(F7*0.19,2)</f>
        <v>376.2</v>
      </c>
      <c r="H7" s="3" t="n">
        <f aca="false">F7+G7</f>
        <v>2356.2</v>
      </c>
      <c r="I7" s="4" t="n">
        <v>46312</v>
      </c>
    </row>
    <row r="8" customFormat="false" ht="15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3" t="n">
        <v>9200</v>
      </c>
      <c r="G8" s="3" t="n">
        <f aca="false">ROUND(F8*0.19,2)</f>
        <v>1748</v>
      </c>
      <c r="H8" s="3" t="n">
        <f aca="false">F8+G8</f>
        <v>10948</v>
      </c>
      <c r="I8" s="4" t="n">
        <v>46277</v>
      </c>
      <c r="J8" s="4" t="n">
        <v>46295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  <c r="E9" s="0" t="s">
        <v>25</v>
      </c>
      <c r="F9" s="3" t="n">
        <v>7450</v>
      </c>
      <c r="G9" s="3" t="n">
        <f aca="false">ROUND(F9*0.19,2)</f>
        <v>1415.5</v>
      </c>
      <c r="H9" s="3" t="n">
        <f aca="false">F9+G9</f>
        <v>8865.5</v>
      </c>
      <c r="I9" s="4" t="n">
        <v>46291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38</v>
      </c>
      <c r="E10" s="0" t="s">
        <v>39</v>
      </c>
      <c r="F10" s="3" t="n">
        <v>3100</v>
      </c>
      <c r="G10" s="3" t="n">
        <f aca="false">ROUND(F10*0.19,2)</f>
        <v>589</v>
      </c>
      <c r="H10" s="3" t="n">
        <f aca="false">F10+G10</f>
        <v>3689</v>
      </c>
    </row>
    <row r="11" customFormat="false" ht="15" hidden="false" customHeight="false" outlineLevel="0" collapsed="false">
      <c r="A11" s="0" t="s">
        <v>40</v>
      </c>
      <c r="C11" s="0" t="s">
        <v>41</v>
      </c>
      <c r="D11" s="0" t="s">
        <v>42</v>
      </c>
      <c r="E11" s="0" t="s">
        <v>39</v>
      </c>
      <c r="F11" s="3" t="n">
        <v>890</v>
      </c>
      <c r="G11" s="3" t="n">
        <f aca="false">ROUND(F11*0.19,2)</f>
        <v>169.1</v>
      </c>
      <c r="H11" s="3" t="n">
        <f aca="false">F11+G11</f>
        <v>1059.1</v>
      </c>
    </row>
    <row r="12" customFormat="false" ht="15" hidden="false" customHeight="false" outlineLevel="0" collapsed="false">
      <c r="A12" s="0" t="s">
        <v>21</v>
      </c>
      <c r="B12" s="0" t="s">
        <v>43</v>
      </c>
      <c r="C12" s="0" t="s">
        <v>44</v>
      </c>
      <c r="D12" s="0" t="s">
        <v>45</v>
      </c>
      <c r="E12" s="0" t="s">
        <v>46</v>
      </c>
      <c r="F12" s="3" t="n">
        <v>2650</v>
      </c>
      <c r="G12" s="3" t="n">
        <f aca="false">ROUND(F12*0.19,2)</f>
        <v>503.5</v>
      </c>
      <c r="H12" s="3" t="n">
        <f aca="false">F12+G12</f>
        <v>3153.5</v>
      </c>
    </row>
    <row r="13" customFormat="false" ht="15" hidden="false" customHeight="false" outlineLevel="0" collapsed="false">
      <c r="A13" s="5" t="s">
        <v>47</v>
      </c>
      <c r="F13" s="6" t="n">
        <f aca="false">SUM(F5:F12)</f>
        <v>46420</v>
      </c>
      <c r="G13" s="6" t="n">
        <f aca="false">SUM(G5:G12)</f>
        <v>8819.8</v>
      </c>
      <c r="H13" s="6" t="n">
        <f aca="false">SUM(H5:H12)</f>
        <v>55239.8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2026-10-19T21:30:42Z</dcterms:created>
  <dc:creator>openpyxl</dc:creator>
  <dc:description/>
  <dc:language>en-US</dc:language>
  <cp:lastModifiedBy/>
  <dcterms:modified xsi:type="dcterms:W3CDTF">2026-10-19T21:30:42Z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