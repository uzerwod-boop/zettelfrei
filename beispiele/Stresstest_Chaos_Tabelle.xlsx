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Übersicht" sheetId="1" state="visible" r:id="rId3"/>
    <sheet name="Std. Okt+Nov (NEU!!)" sheetId="2" state="visible" r:id="rId4"/>
    <sheet name="Lager" sheetId="3" state="visible" r:id="rId5"/>
    <sheet name="Kunden" sheetId="4" state="hidden" r:id="rId6"/>
    <sheet name="Rechnungen 2026" sheetId="5" state="visible" r:id="rId7"/>
  </sheets>
  <definedNames>
    <definedName function="false" hidden="true" localSheetId="1" name="_xlnm._FilterDatabase" vbProcedure="false">'Std. Okt+Nov (NEU!!)'!$B$5:$K$19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Uhrzeit als echte Zeit, nicht Text</t>
        </r>
      </text>
    </comment>
  </commentList>
</comments>
</file>

<file path=xl/sharedStrings.xml><?xml version="1.0" encoding="utf-8"?>
<sst xmlns="http://schemas.openxmlformats.org/spreadsheetml/2006/main" count="186" uniqueCount="155">
  <si>
    <t xml:space="preserve">Übersicht (automatisch – nichts eintragen!)</t>
  </si>
  <si>
    <t xml:space="preserve">Stunden gesamt</t>
  </si>
  <si>
    <t xml:space="preserve">Lagerwert</t>
  </si>
  <si>
    <t xml:space="preserve">Offene Rechnungen</t>
  </si>
  <si>
    <t xml:space="preserve">Anzahl Rechnungen</t>
  </si>
  <si>
    <t xml:space="preserve">Krause Fliesen &amp; Bad GmbH</t>
  </si>
  <si>
    <t xml:space="preserve">Stundenerfassung – NICHT LÖSCHEN!!! (Stand: siehe unten)</t>
  </si>
  <si>
    <t xml:space="preserve">Stundensatz:</t>
  </si>
  <si>
    <t xml:space="preserve">Datum</t>
  </si>
  <si>
    <t xml:space="preserve">Wer / Wo</t>
  </si>
  <si>
    <t xml:space="preserve">Zeit</t>
  </si>
  <si>
    <t xml:space="preserve">Std.</t>
  </si>
  <si>
    <t xml:space="preserve">Betrag</t>
  </si>
  <si>
    <t xml:space="preserve">Bemerkung / Material?</t>
  </si>
  <si>
    <t xml:space="preserve">Mitarbeiter</t>
  </si>
  <si>
    <t xml:space="preserve">Satz</t>
  </si>
  <si>
    <t xml:space="preserve">MA</t>
  </si>
  <si>
    <t xml:space="preserve">Baustelle / Kunde</t>
  </si>
  <si>
    <t xml:space="preserve">von</t>
  </si>
  <si>
    <t xml:space="preserve">bis</t>
  </si>
  <si>
    <t xml:space="preserve">Pause
(min)</t>
  </si>
  <si>
    <t xml:space="preserve">Mehmet</t>
  </si>
  <si>
    <t xml:space="preserve">Bad Schneider</t>
  </si>
  <si>
    <t xml:space="preserve">7:00</t>
  </si>
  <si>
    <t xml:space="preserve">16:30</t>
  </si>
  <si>
    <t xml:space="preserve">Wand gefliest</t>
  </si>
  <si>
    <t xml:space="preserve">geheim</t>
  </si>
  <si>
    <t xml:space="preserve">Kevin</t>
  </si>
  <si>
    <t xml:space="preserve">02.10.26</t>
  </si>
  <si>
    <t xml:space="preserve">mehmet </t>
  </si>
  <si>
    <t xml:space="preserve">Bad  Schneider</t>
  </si>
  <si>
    <t xml:space="preserve">30 min</t>
  </si>
  <si>
    <t xml:space="preserve">Jonas</t>
  </si>
  <si>
    <t xml:space="preserve">2.10.2026</t>
  </si>
  <si>
    <t xml:space="preserve">Küche Yılmaz</t>
  </si>
  <si>
    <t xml:space="preserve">Silikon fehlt!!</t>
  </si>
  <si>
    <t xml:space="preserve">M. Öztürk</t>
  </si>
  <si>
    <t xml:space="preserve">05.10.2026</t>
  </si>
  <si>
    <t xml:space="preserve">Praxis Dr. Hahn</t>
  </si>
  <si>
    <t xml:space="preserve">07:00</t>
  </si>
  <si>
    <t xml:space="preserve">17:45</t>
  </si>
  <si>
    <t xml:space="preserve">Pause vergessen?</t>
  </si>
  <si>
    <t xml:space="preserve">06.10.2026</t>
  </si>
  <si>
    <t xml:space="preserve">Kevin + Jonas</t>
  </si>
  <si>
    <t xml:space="preserve">Hahn</t>
  </si>
  <si>
    <t xml:space="preserve">8</t>
  </si>
  <si>
    <t xml:space="preserve">16</t>
  </si>
  <si>
    <t xml:space="preserve">1/2 Std</t>
  </si>
  <si>
    <t xml:space="preserve">zu zweit</t>
  </si>
  <si>
    <t xml:space="preserve">Okt 07</t>
  </si>
  <si>
    <t xml:space="preserve">15:00</t>
  </si>
  <si>
    <t xml:space="preserve">Fugen</t>
  </si>
  <si>
    <t xml:space="preserve">08.10.2026</t>
  </si>
  <si>
    <t xml:space="preserve">Lager / Werkstatt</t>
  </si>
  <si>
    <t xml:space="preserve">6:30</t>
  </si>
  <si>
    <t xml:space="preserve">11:00</t>
  </si>
  <si>
    <t xml:space="preserve">krank ab Mittag</t>
  </si>
  <si>
    <t xml:space="preserve">Zwischensumme Oktober (1. Woche)</t>
  </si>
  <si>
    <t xml:space="preserve">--- November ---</t>
  </si>
  <si>
    <t xml:space="preserve">Neubau Weber (EFH)</t>
  </si>
  <si>
    <t xml:space="preserve">16:00</t>
  </si>
  <si>
    <t xml:space="preserve">Estrich noch feucht</t>
  </si>
  <si>
    <t xml:space="preserve">Datum als Zahl</t>
  </si>
  <si>
    <t xml:space="preserve">03/11/2026</t>
  </si>
  <si>
    <t xml:space="preserve">Weber</t>
  </si>
  <si>
    <t xml:space="preserve">7:30</t>
  </si>
  <si>
    <t xml:space="preserve">18:30</t>
  </si>
  <si>
    <t xml:space="preserve">11 Std.!</t>
  </si>
  <si>
    <t xml:space="preserve">04.11.2026</t>
  </si>
  <si>
    <t xml:space="preserve">5:00</t>
  </si>
  <si>
    <t xml:space="preserve">12:00</t>
  </si>
  <si>
    <t xml:space="preserve">Ruhezeit?</t>
  </si>
  <si>
    <t xml:space="preserve">GESAMT</t>
  </si>
  <si>
    <t xml:space="preserve">Stand:</t>
  </si>
  <si>
    <t xml:space="preserve">Chef sagt: Überstunden ab 01.11. extra eintragen!!</t>
  </si>
  <si>
    <t xml:space="preserve">LAGERLISTE</t>
  </si>
  <si>
    <t xml:space="preserve">zuletzt gezählt: KW 41 (Kevin)</t>
  </si>
  <si>
    <t xml:space="preserve">Art.Nr.</t>
  </si>
  <si>
    <t xml:space="preserve">Bezeichnung</t>
  </si>
  <si>
    <t xml:space="preserve">Bestand</t>
  </si>
  <si>
    <t xml:space="preserve">Einheit</t>
  </si>
  <si>
    <t xml:space="preserve">Min.</t>
  </si>
  <si>
    <t xml:space="preserve">EK netto</t>
  </si>
  <si>
    <t xml:space="preserve">Wert</t>
  </si>
  <si>
    <t xml:space="preserve">Lieferant</t>
  </si>
  <si>
    <t xml:space="preserve">000123</t>
  </si>
  <si>
    <t xml:space="preserve">Fliesenkleber C2TE S1 25kg</t>
  </si>
  <si>
    <t xml:space="preserve">14</t>
  </si>
  <si>
    <t xml:space="preserve">Sack</t>
  </si>
  <si>
    <t xml:space="preserve">14,90 €</t>
  </si>
  <si>
    <t xml:space="preserve">Baustoff Kaiser GmbH</t>
  </si>
  <si>
    <t xml:space="preserve">Kaiser</t>
  </si>
  <si>
    <t xml:space="preserve">Fliesenkleber C2TE S1 25 kg (alt)</t>
  </si>
  <si>
    <t xml:space="preserve">A-1010</t>
  </si>
  <si>
    <t xml:space="preserve">Fugenmörtel grau 5kg</t>
  </si>
  <si>
    <t xml:space="preserve">9 Eimer</t>
  </si>
  <si>
    <t xml:space="preserve">11.40</t>
  </si>
  <si>
    <t xml:space="preserve">A-1011</t>
  </si>
  <si>
    <t xml:space="preserve">Fugenmörtel anthrazit 5kg</t>
  </si>
  <si>
    <t xml:space="preserve">Eimer</t>
  </si>
  <si>
    <t xml:space="preserve">12,30</t>
  </si>
  <si>
    <t xml:space="preserve">nachbestellt?</t>
  </si>
  <si>
    <t xml:space="preserve">A–1020</t>
  </si>
  <si>
    <t xml:space="preserve">Silikon sanitär weiß 310ml</t>
  </si>
  <si>
    <t xml:space="preserve">Kart.</t>
  </si>
  <si>
    <t xml:space="preserve">A-1021 </t>
  </si>
  <si>
    <t xml:space="preserve">Silikon sanitär grau 310ml</t>
  </si>
  <si>
    <t xml:space="preserve">5</t>
  </si>
  <si>
    <t xml:space="preserve">Kartusche</t>
  </si>
  <si>
    <t xml:space="preserve">6,20</t>
  </si>
  <si>
    <t xml:space="preserve">A-1060</t>
  </si>
  <si>
    <t xml:space="preserve">Feinsteinzeug 60x60 anthrazit</t>
  </si>
  <si>
    <t xml:space="preserve">12,5</t>
  </si>
  <si>
    <t xml:space="preserve">m²</t>
  </si>
  <si>
    <t xml:space="preserve">32,90 €/m²</t>
  </si>
  <si>
    <t xml:space="preserve">A-1061</t>
  </si>
  <si>
    <t xml:space="preserve">Wandfliese 30x60 weiß matt</t>
  </si>
  <si>
    <t xml:space="preserve">ca. 30</t>
  </si>
  <si>
    <t xml:space="preserve">qm</t>
  </si>
  <si>
    <t xml:space="preserve">#NV</t>
  </si>
  <si>
    <t xml:space="preserve">Dichtband</t>
  </si>
  <si>
    <t xml:space="preserve">#BEZUG!</t>
  </si>
  <si>
    <t xml:space="preserve">Rolle</t>
  </si>
  <si>
    <t xml:space="preserve">Summe Lagerwert:</t>
  </si>
  <si>
    <t xml:space="preserve">KdNr</t>
  </si>
  <si>
    <t xml:space="preserve">Name</t>
  </si>
  <si>
    <t xml:space="preserve">Zahlungsziel (Tage)</t>
  </si>
  <si>
    <t xml:space="preserve">E-Mail</t>
  </si>
  <si>
    <t xml:space="preserve">Becker, Thomas</t>
  </si>
  <si>
    <t xml:space="preserve">t.becker@example.de</t>
  </si>
  <si>
    <t xml:space="preserve">Yılmaz GbR</t>
  </si>
  <si>
    <t xml:space="preserve">info@yilmaz-gbr.example</t>
  </si>
  <si>
    <t xml:space="preserve">praxis@hahn.example</t>
  </si>
  <si>
    <t xml:space="preserve">Weber Bau GmbH &amp; Co. KG</t>
  </si>
  <si>
    <t xml:space="preserve">rechnung@weber-bau.example</t>
  </si>
  <si>
    <t xml:space="preserve">Ausgangsrechnungen</t>
  </si>
  <si>
    <t xml:space="preserve">Re-Nr</t>
  </si>
  <si>
    <t xml:space="preserve">Kunde</t>
  </si>
  <si>
    <t xml:space="preserve">Netto</t>
  </si>
  <si>
    <t xml:space="preserve">USt %</t>
  </si>
  <si>
    <t xml:space="preserve">USt</t>
  </si>
  <si>
    <t xml:space="preserve">Brutto</t>
  </si>
  <si>
    <t xml:space="preserve">Fällig</t>
  </si>
  <si>
    <t xml:space="preserve">Status</t>
  </si>
  <si>
    <t xml:space="preserve">bezahlt am</t>
  </si>
  <si>
    <t xml:space="preserve">2026-031</t>
  </si>
  <si>
    <t xml:space="preserve">bezahlt</t>
  </si>
  <si>
    <t xml:space="preserve">2026-032</t>
  </si>
  <si>
    <t xml:space="preserve">offen</t>
  </si>
  <si>
    <t xml:space="preserve">2026-033</t>
  </si>
  <si>
    <t xml:space="preserve">12.400,00</t>
  </si>
  <si>
    <t xml:space="preserve">Teilzahlung</t>
  </si>
  <si>
    <t xml:space="preserve">2026-035</t>
  </si>
  <si>
    <t xml:space="preserve">OFFEN</t>
  </si>
  <si>
    <t xml:space="preserve">offen gesamt: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</si>
</sst>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dd\.mm\.yyyy"/>
    <numFmt numFmtId="167" formatCode="General"/>
    <numFmt numFmtId="168" formatCode="hh:mm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n">
        <f aca="false">'Std. Okt+Nov (NEU!!)'!H20</f>
        <v>275.25</v>
      </c>
    </row>
    <row r="4" customFormat="false" ht="15" hidden="false" customHeight="false" outlineLevel="0" collapsed="false">
      <c r="A4" s="0" t="s">
        <v>2</v>
      </c>
      <c r="B4" s="2" t="n">
        <f aca="false">Lager!G15</f>
        <v>152.1</v>
      </c>
    </row>
    <row r="5" customFormat="false" ht="15" hidden="false" customHeight="false" outlineLevel="0" collapsed="false">
      <c r="A5" s="0" t="s">
        <v>3</v>
      </c>
      <c r="B5" s="2" t="n">
        <f aca="false">'Rechnungen 2026'!H9</f>
        <v>26449.4</v>
      </c>
    </row>
    <row r="6" customFormat="false" ht="15" hidden="false" customHeight="false" outlineLevel="0" collapsed="false">
      <c r="A6" s="0" t="s">
        <v>4</v>
      </c>
      <c r="B6" s="0" t="n">
        <f aca="false">COUNTA('Rechnungen 2026'!A3:A20)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6"/>
    <col collapsed="false" customWidth="true" hidden="tru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6"/>
  </cols>
  <sheetData>
    <row r="1" customFormat="false" ht="19.7" hidden="false" customHeight="false" outlineLevel="0" collapsed="false">
      <c r="B1" s="3" t="s">
        <v>5</v>
      </c>
    </row>
    <row r="2" customFormat="false" ht="15" hidden="false" customHeight="false" outlineLevel="0" collapsed="false">
      <c r="B2" s="4" t="s">
        <v>6</v>
      </c>
      <c r="H2" s="5" t="s">
        <v>7</v>
      </c>
      <c r="I2" s="2" t="n">
        <v>48</v>
      </c>
    </row>
    <row r="4" customFormat="false" ht="15" hidden="false" customHeight="true" outlineLevel="0" collapsed="false">
      <c r="B4" s="6" t="s">
        <v>8</v>
      </c>
      <c r="C4" s="6" t="s">
        <v>9</v>
      </c>
      <c r="D4" s="6"/>
      <c r="E4" s="6" t="s">
        <v>10</v>
      </c>
      <c r="F4" s="6"/>
      <c r="G4" s="6"/>
      <c r="H4" s="6" t="s">
        <v>11</v>
      </c>
      <c r="I4" s="6" t="s">
        <v>12</v>
      </c>
      <c r="J4" s="6" t="s">
        <v>13</v>
      </c>
      <c r="K4" s="6" t="s">
        <v>11</v>
      </c>
      <c r="M4" s="7" t="s">
        <v>14</v>
      </c>
      <c r="N4" s="7" t="s">
        <v>15</v>
      </c>
    </row>
    <row r="5" customFormat="false" ht="55.2" hidden="false" customHeight="false" outlineLevel="0" collapsed="false">
      <c r="B5" s="6"/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/>
      <c r="I5" s="6"/>
      <c r="J5" s="6"/>
      <c r="K5" s="6"/>
      <c r="M5" s="5" t="s">
        <v>21</v>
      </c>
      <c r="N5" s="0" t="n">
        <v>52</v>
      </c>
    </row>
    <row r="6" customFormat="false" ht="15" hidden="false" customHeight="false" outlineLevel="0" collapsed="false">
      <c r="B6" s="8" t="n">
        <v>46296</v>
      </c>
      <c r="C6" s="5" t="s">
        <v>21</v>
      </c>
      <c r="D6" s="5" t="s">
        <v>22</v>
      </c>
      <c r="E6" s="5" t="s">
        <v>23</v>
      </c>
      <c r="F6" s="5" t="s">
        <v>24</v>
      </c>
      <c r="G6" s="0" t="n">
        <v>30</v>
      </c>
      <c r="H6" s="9" t="n">
        <f aca="false">IFERROR(ROUND(((F6-E6)*24)-IF(ISNUMBER(G6),G6/60,0),2),"?")</f>
        <v>9</v>
      </c>
      <c r="I6" s="2" t="n">
        <f aca="false">IF(ISNUMBER(H6),H6*$I$2,"")</f>
        <v>432</v>
      </c>
      <c r="J6" s="5" t="s">
        <v>25</v>
      </c>
      <c r="K6" s="5" t="n">
        <f aca="false">H6</f>
        <v>9</v>
      </c>
      <c r="L6" s="5" t="s">
        <v>26</v>
      </c>
      <c r="M6" s="5" t="s">
        <v>27</v>
      </c>
      <c r="N6" s="0" t="n">
        <v>45</v>
      </c>
    </row>
    <row r="7" customFormat="false" ht="15" hidden="false" customHeight="false" outlineLevel="0" collapsed="false">
      <c r="B7" s="0" t="s">
        <v>28</v>
      </c>
      <c r="C7" s="0" t="s">
        <v>29</v>
      </c>
      <c r="D7" s="0" t="s">
        <v>30</v>
      </c>
      <c r="E7" s="10" t="n">
        <v>0.302083333333333</v>
      </c>
      <c r="F7" s="10" t="n">
        <v>0.65625</v>
      </c>
      <c r="G7" s="5" t="s">
        <v>31</v>
      </c>
      <c r="H7" s="9" t="n">
        <f aca="false">IFERROR(ROUND(((F7-E7)*24)-IF(ISNUMBER(G7),G7/60,0),2),"?")</f>
        <v>8.5</v>
      </c>
      <c r="I7" s="2" t="n">
        <f aca="false">IF(ISNUMBER(H7),H7*$I$2,"")</f>
        <v>408</v>
      </c>
      <c r="K7" s="5" t="n">
        <f aca="false">H7</f>
        <v>8.5</v>
      </c>
      <c r="M7" s="5" t="s">
        <v>32</v>
      </c>
      <c r="N7" s="0" t="n">
        <v>45</v>
      </c>
    </row>
    <row r="8" customFormat="false" ht="15" hidden="false" customHeight="false" outlineLevel="0" collapsed="false">
      <c r="B8" s="0" t="s">
        <v>33</v>
      </c>
      <c r="C8" s="0" t="s">
        <v>27</v>
      </c>
      <c r="D8" s="0" t="s">
        <v>34</v>
      </c>
      <c r="E8" s="10" t="n">
        <v>0.2916666</v>
      </c>
      <c r="F8" s="10" t="n">
        <v>0.6875</v>
      </c>
      <c r="G8" s="0" t="n">
        <v>45</v>
      </c>
      <c r="H8" s="9" t="n">
        <f aca="false">IFERROR(ROUND(((F8-E8)*24)-IF(ISNUMBER(G8),G8/60,0),2),"?")</f>
        <v>8.75</v>
      </c>
      <c r="I8" s="2" t="n">
        <f aca="false">IF(ISNUMBER(H8),H8*$I$2,"")</f>
        <v>420</v>
      </c>
      <c r="J8" s="5" t="s">
        <v>35</v>
      </c>
      <c r="K8" s="5" t="n">
        <f aca="false">H8</f>
        <v>8.75</v>
      </c>
      <c r="M8" s="5" t="s">
        <v>36</v>
      </c>
      <c r="N8" s="0" t="n">
        <v>38</v>
      </c>
    </row>
    <row r="9" customFormat="false" ht="15" hidden="false" customHeight="false" outlineLevel="0" collapsed="false">
      <c r="B9" s="0" t="s">
        <v>37</v>
      </c>
      <c r="C9" s="0" t="s">
        <v>32</v>
      </c>
      <c r="D9" s="0" t="s">
        <v>38</v>
      </c>
      <c r="E9" s="0" t="s">
        <v>39</v>
      </c>
      <c r="F9" s="0" t="s">
        <v>40</v>
      </c>
      <c r="G9" s="0" t="n">
        <v>0</v>
      </c>
      <c r="H9" s="9" t="n">
        <f aca="false">IFERROR(ROUND(((F9-E9)*24)-IF(ISNUMBER(G9),G9/60,0),2),"?")</f>
        <v>10.75</v>
      </c>
      <c r="I9" s="2" t="n">
        <f aca="false">IF(ISNUMBER(H9),H9*$I$2,"")</f>
        <v>516</v>
      </c>
      <c r="J9" s="5" t="s">
        <v>41</v>
      </c>
      <c r="K9" s="5" t="n">
        <f aca="false">H9</f>
        <v>10.75</v>
      </c>
    </row>
    <row r="10" customFormat="false" ht="15" hidden="false" customHeight="false" outlineLevel="0" collapsed="false">
      <c r="H10" s="9"/>
    </row>
    <row r="11" customFormat="false" ht="15" hidden="false" customHeight="false" outlineLevel="0" collapsed="false">
      <c r="B11" s="0" t="s">
        <v>42</v>
      </c>
      <c r="C11" s="0" t="s">
        <v>43</v>
      </c>
      <c r="D11" s="0" t="s">
        <v>44</v>
      </c>
      <c r="E11" s="0" t="s">
        <v>45</v>
      </c>
      <c r="F11" s="0" t="s">
        <v>46</v>
      </c>
      <c r="G11" s="0" t="s">
        <v>47</v>
      </c>
      <c r="H11" s="9" t="n">
        <f aca="false">IFERROR(ROUND(((F11-E11)*24)-IF(ISNUMBER(G11),G11/60,0),2),"?")</f>
        <v>192</v>
      </c>
      <c r="I11" s="2" t="n">
        <f aca="false">IF(ISNUMBER(H11),H11*$I$2,"")</f>
        <v>9216</v>
      </c>
      <c r="J11" s="5" t="s">
        <v>48</v>
      </c>
      <c r="K11" s="5" t="n">
        <f aca="false">H11</f>
        <v>192</v>
      </c>
    </row>
    <row r="12" customFormat="false" ht="15" hidden="false" customHeight="false" outlineLevel="0" collapsed="false">
      <c r="B12" s="0" t="s">
        <v>49</v>
      </c>
      <c r="C12" s="0" t="s">
        <v>21</v>
      </c>
      <c r="D12" s="0" t="s">
        <v>22</v>
      </c>
      <c r="E12" s="0" t="s">
        <v>23</v>
      </c>
      <c r="F12" s="0" t="s">
        <v>50</v>
      </c>
      <c r="G12" s="0" t="n">
        <v>30</v>
      </c>
      <c r="H12" s="9" t="n">
        <f aca="false">IFERROR(ROUND(((F12-E12)*24)-IF(ISNUMBER(G12),G12/60,0),2),"?")</f>
        <v>7.5</v>
      </c>
      <c r="I12" s="2" t="n">
        <f aca="false">IF(ISNUMBER(H12),H12*$I$2,"")</f>
        <v>360</v>
      </c>
      <c r="J12" s="5" t="s">
        <v>51</v>
      </c>
      <c r="K12" s="5" t="n">
        <f aca="false">H12</f>
        <v>7.5</v>
      </c>
    </row>
    <row r="13" customFormat="false" ht="15" hidden="false" customHeight="false" outlineLevel="0" collapsed="false">
      <c r="B13" s="0" t="s">
        <v>52</v>
      </c>
      <c r="C13" s="0" t="s">
        <v>36</v>
      </c>
      <c r="D13" s="0" t="s">
        <v>53</v>
      </c>
      <c r="E13" s="0" t="s">
        <v>54</v>
      </c>
      <c r="F13" s="0" t="s">
        <v>55</v>
      </c>
      <c r="H13" s="9" t="n">
        <f aca="false">IFERROR(ROUND(((F13-E13)*24)-IF(ISNUMBER(G13),G13/60,0),2),"?")</f>
        <v>4.5</v>
      </c>
      <c r="I13" s="2" t="n">
        <f aca="false">IF(ISNUMBER(H13),H13*$I$2,"")</f>
        <v>216</v>
      </c>
      <c r="J13" s="5" t="s">
        <v>56</v>
      </c>
      <c r="K13" s="5" t="n">
        <f aca="false">H13</f>
        <v>4.5</v>
      </c>
    </row>
    <row r="14" customFormat="false" ht="15" hidden="false" customHeight="false" outlineLevel="0" collapsed="false">
      <c r="B14" s="11" t="s">
        <v>57</v>
      </c>
      <c r="C14" s="12"/>
      <c r="D14" s="12"/>
      <c r="E14" s="12"/>
      <c r="F14" s="12"/>
      <c r="G14" s="12"/>
      <c r="H14" s="13" t="n">
        <f aca="false">SUBTOTAL(9,H6:H13)</f>
        <v>241</v>
      </c>
      <c r="I14" s="14" t="n">
        <f aca="false">SUBTOTAL(9,I6:I13)</f>
        <v>11568</v>
      </c>
      <c r="J14" s="12"/>
      <c r="K14" s="12"/>
    </row>
    <row r="15" customFormat="false" ht="15" hidden="false" customHeight="false" outlineLevel="0" collapsed="false">
      <c r="B15" s="15" t="s">
        <v>58</v>
      </c>
      <c r="H15" s="9"/>
    </row>
    <row r="16" customFormat="false" ht="15" hidden="false" customHeight="false" outlineLevel="0" collapsed="false">
      <c r="B16" s="8" t="n">
        <v>46328</v>
      </c>
      <c r="C16" s="5" t="s">
        <v>21</v>
      </c>
      <c r="D16" s="5" t="s">
        <v>59</v>
      </c>
      <c r="E16" s="5" t="s">
        <v>23</v>
      </c>
      <c r="F16" s="5" t="s">
        <v>60</v>
      </c>
      <c r="G16" s="0" t="n">
        <v>30</v>
      </c>
      <c r="H16" s="9" t="n">
        <f aca="false">IFERROR(ROUND(((F16-E16)*24)-IF(ISNUMBER(G16),G16/60,0),2),"?")</f>
        <v>8.5</v>
      </c>
      <c r="I16" s="2" t="n">
        <f aca="false">IF(ISNUMBER(H16),H16*$I$2,"")</f>
        <v>408</v>
      </c>
      <c r="J16" s="5" t="s">
        <v>61</v>
      </c>
      <c r="K16" s="5" t="n">
        <f aca="false">H16</f>
        <v>8.5</v>
      </c>
    </row>
    <row r="17" customFormat="false" ht="15" hidden="false" customHeight="false" outlineLevel="0" collapsed="false">
      <c r="B17" s="8" t="n">
        <v>46329</v>
      </c>
      <c r="C17" s="5" t="s">
        <v>27</v>
      </c>
      <c r="D17" s="5" t="s">
        <v>59</v>
      </c>
      <c r="E17" s="5" t="s">
        <v>23</v>
      </c>
      <c r="F17" s="5" t="s">
        <v>60</v>
      </c>
      <c r="G17" s="0" t="n">
        <v>30</v>
      </c>
      <c r="H17" s="9" t="n">
        <f aca="false">IFERROR(ROUND(((F17-E17)*24)-IF(ISNUMBER(G17),G17/60,0),2),"?")</f>
        <v>8.5</v>
      </c>
      <c r="I17" s="2" t="n">
        <f aca="false">IF(ISNUMBER(H17),H17*$I$2,"")</f>
        <v>408</v>
      </c>
      <c r="J17" s="5" t="s">
        <v>62</v>
      </c>
      <c r="K17" s="5" t="n">
        <f aca="false">H17</f>
        <v>8.5</v>
      </c>
    </row>
    <row r="18" customFormat="false" ht="15" hidden="false" customHeight="false" outlineLevel="0" collapsed="false">
      <c r="B18" s="8" t="s">
        <v>63</v>
      </c>
      <c r="C18" s="5" t="s">
        <v>32</v>
      </c>
      <c r="D18" s="5" t="s">
        <v>64</v>
      </c>
      <c r="E18" s="5" t="s">
        <v>65</v>
      </c>
      <c r="F18" s="5" t="s">
        <v>66</v>
      </c>
      <c r="G18" s="0" t="n">
        <v>30</v>
      </c>
      <c r="H18" s="9" t="n">
        <f aca="false">IFERROR(ROUND(((F18-E18)*24)-IF(ISNUMBER(G18),G18/60,0),2),"?")</f>
        <v>10.5</v>
      </c>
      <c r="I18" s="2" t="n">
        <f aca="false">IF(ISNUMBER(H18),H18*$I$2,"")</f>
        <v>504</v>
      </c>
      <c r="J18" s="5" t="s">
        <v>67</v>
      </c>
      <c r="K18" s="5" t="n">
        <f aca="false">H18</f>
        <v>10.5</v>
      </c>
    </row>
    <row r="19" customFormat="false" ht="15" hidden="false" customHeight="false" outlineLevel="0" collapsed="false">
      <c r="B19" s="8" t="s">
        <v>68</v>
      </c>
      <c r="C19" s="5" t="s">
        <v>32</v>
      </c>
      <c r="D19" s="5" t="s">
        <v>64</v>
      </c>
      <c r="E19" s="5" t="s">
        <v>69</v>
      </c>
      <c r="F19" s="5" t="s">
        <v>70</v>
      </c>
      <c r="G19" s="0" t="n">
        <v>15</v>
      </c>
      <c r="H19" s="9" t="n">
        <f aca="false">IFERROR(ROUND(((F19-E19)*24)-IF(ISNUMBER(G19),G19/60,0),2),"?")</f>
        <v>6.75</v>
      </c>
      <c r="I19" s="2" t="n">
        <f aca="false">IF(ISNUMBER(H19),H19*$I$2,"")</f>
        <v>324</v>
      </c>
      <c r="J19" s="5" t="s">
        <v>71</v>
      </c>
      <c r="K19" s="5" t="n">
        <f aca="false">H19</f>
        <v>6.75</v>
      </c>
    </row>
    <row r="20" customFormat="false" ht="15" hidden="false" customHeight="false" outlineLevel="0" collapsed="false">
      <c r="B20" s="16" t="s">
        <v>72</v>
      </c>
      <c r="C20" s="17"/>
      <c r="D20" s="17"/>
      <c r="E20" s="17"/>
      <c r="F20" s="17"/>
      <c r="G20" s="17"/>
      <c r="H20" s="18" t="n">
        <f aca="false">SUBTOTAL(9,H6:H19)</f>
        <v>275.25</v>
      </c>
      <c r="I20" s="19" t="n">
        <f aca="false">SUBTOTAL(9,I6:I19)</f>
        <v>13212</v>
      </c>
      <c r="J20" s="17"/>
      <c r="K20" s="17"/>
    </row>
    <row r="21" customFormat="false" ht="15" hidden="false" customHeight="false" outlineLevel="0" collapsed="false">
      <c r="H21" s="9"/>
    </row>
    <row r="22" customFormat="false" ht="15" hidden="false" customHeight="false" outlineLevel="0" collapsed="false">
      <c r="B22" s="0" t="s">
        <v>73</v>
      </c>
      <c r="C22" s="8" t="n">
        <f aca="true">TODAY()</f>
        <v>46315</v>
      </c>
      <c r="H22" s="9"/>
    </row>
    <row r="23" customFormat="false" ht="15" hidden="false" customHeight="false" outlineLevel="0" collapsed="false">
      <c r="B23" s="0" t="s">
        <v>74</v>
      </c>
      <c r="H23" s="9"/>
    </row>
    <row r="24" customFormat="false" ht="15" hidden="false" customHeight="false" outlineLevel="0" collapsed="false">
      <c r="H24" s="9"/>
    </row>
    <row r="25" customFormat="false" ht="15" hidden="false" customHeight="false" outlineLevel="0" collapsed="false">
      <c r="H25" s="9"/>
    </row>
    <row r="26" customFormat="false" ht="15" hidden="false" customHeight="false" outlineLevel="0" collapsed="false">
      <c r="H26" s="9"/>
    </row>
    <row r="27" customFormat="false" ht="15" hidden="false" customHeight="false" outlineLevel="0" collapsed="false">
      <c r="H27" s="9"/>
    </row>
    <row r="28" customFormat="false" ht="15" hidden="false" customHeight="false" outlineLevel="0" collapsed="false">
      <c r="H28" s="9"/>
    </row>
    <row r="29" customFormat="false" ht="15" hidden="false" customHeight="false" outlineLevel="0" collapsed="false">
      <c r="H29" s="9"/>
    </row>
    <row r="30" customFormat="false" ht="15" hidden="false" customHeight="false" outlineLevel="0" collapsed="false">
      <c r="H30" s="9"/>
    </row>
    <row r="31" customFormat="false" ht="15" hidden="false" customHeight="false" outlineLevel="0" collapsed="false">
      <c r="H31" s="9"/>
    </row>
    <row r="32" customFormat="false" ht="15" hidden="false" customHeight="false" outlineLevel="0" collapsed="false">
      <c r="H32" s="9"/>
    </row>
    <row r="33" customFormat="false" ht="15" hidden="false" customHeight="false" outlineLevel="0" collapsed="false">
      <c r="H33" s="9"/>
    </row>
    <row r="34" customFormat="false" ht="15" hidden="false" customHeight="false" outlineLevel="0" collapsed="false">
      <c r="H34" s="9"/>
    </row>
    <row r="35" customFormat="false" ht="15" hidden="false" customHeight="false" outlineLevel="0" collapsed="false">
      <c r="H35" s="9"/>
    </row>
    <row r="36" customFormat="false" ht="15" hidden="false" customHeight="false" outlineLevel="0" collapsed="false">
      <c r="H36" s="9"/>
    </row>
    <row r="37" customFormat="false" ht="15" hidden="false" customHeight="false" outlineLevel="0" collapsed="false">
      <c r="H37" s="9"/>
    </row>
    <row r="38" customFormat="false" ht="15" hidden="false" customHeight="false" outlineLevel="0" collapsed="false">
      <c r="H38" s="9"/>
    </row>
    <row r="39" customFormat="false" ht="15" hidden="false" customHeight="false" outlineLevel="0" collapsed="false">
      <c r="H39" s="9"/>
    </row>
    <row r="40" customFormat="false" ht="15" hidden="false" customHeight="false" outlineLevel="0" collapsed="false">
      <c r="H40" s="9"/>
    </row>
  </sheetData>
  <autoFilter ref="B5:K19"/>
  <mergeCells count="7">
    <mergeCell ref="B4:B5"/>
    <mergeCell ref="C4:D4"/>
    <mergeCell ref="E4:G4"/>
    <mergeCell ref="H4:H5"/>
    <mergeCell ref="I4:I5"/>
    <mergeCell ref="J4:J5"/>
    <mergeCell ref="K4:K5"/>
  </mergeCells>
  <conditionalFormatting sqref="H6:H40">
    <cfRule type="cellIs" priority="2" operator="greaterThan" aboveAverage="0" equalAverage="0" bottom="0" percent="0" rank="0" text="" dxfId="6"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0" t="s">
        <v>76</v>
      </c>
    </row>
    <row r="4" customFormat="false" ht="15" hidden="false" customHeight="false" outlineLevel="0" collapsed="false">
      <c r="A4" s="20" t="s">
        <v>77</v>
      </c>
      <c r="B4" s="20" t="s">
        <v>78</v>
      </c>
      <c r="C4" s="20" t="s">
        <v>79</v>
      </c>
      <c r="D4" s="20" t="s">
        <v>80</v>
      </c>
      <c r="E4" s="20" t="s">
        <v>81</v>
      </c>
      <c r="F4" s="20" t="s">
        <v>82</v>
      </c>
      <c r="G4" s="20" t="s">
        <v>83</v>
      </c>
      <c r="H4" s="20" t="s">
        <v>84</v>
      </c>
      <c r="I4" s="20" t="s">
        <v>84</v>
      </c>
    </row>
    <row r="5" customFormat="false" ht="15" hidden="false" customHeight="false" outlineLevel="0" collapsed="false">
      <c r="A5" s="0" t="s">
        <v>85</v>
      </c>
      <c r="B5" s="0" t="s">
        <v>86</v>
      </c>
      <c r="C5" s="0" t="s">
        <v>87</v>
      </c>
      <c r="D5" s="5" t="s">
        <v>88</v>
      </c>
      <c r="E5" s="0" t="n">
        <v>10</v>
      </c>
      <c r="F5" s="5" t="s">
        <v>89</v>
      </c>
      <c r="G5" s="2" t="str">
        <f aca="false">IFERROR(C5*F5,"")</f>
        <v/>
      </c>
      <c r="H5" s="5" t="s">
        <v>90</v>
      </c>
      <c r="I5" s="5" t="s">
        <v>91</v>
      </c>
    </row>
    <row r="6" customFormat="false" ht="15" hidden="false" customHeight="false" outlineLevel="0" collapsed="false">
      <c r="A6" s="0" t="n">
        <v>123</v>
      </c>
      <c r="B6" s="0" t="s">
        <v>92</v>
      </c>
      <c r="C6" s="0" t="n">
        <v>3</v>
      </c>
      <c r="D6" s="5" t="s">
        <v>88</v>
      </c>
      <c r="E6" s="0" t="n">
        <v>0</v>
      </c>
      <c r="F6" s="0" t="n">
        <v>13.5</v>
      </c>
      <c r="G6" s="2" t="n">
        <f aca="false">IFERROR(C6*F6,"")</f>
        <v>40.5</v>
      </c>
      <c r="H6" s="5" t="s">
        <v>91</v>
      </c>
    </row>
    <row r="7" customFormat="false" ht="15" hidden="false" customHeight="false" outlineLevel="0" collapsed="false">
      <c r="A7" s="0" t="s">
        <v>93</v>
      </c>
      <c r="B7" s="0" t="s">
        <v>94</v>
      </c>
      <c r="C7" s="0" t="s">
        <v>95</v>
      </c>
      <c r="D7" s="5"/>
      <c r="E7" s="0" t="n">
        <v>6</v>
      </c>
      <c r="F7" s="5" t="s">
        <v>96</v>
      </c>
      <c r="G7" s="2" t="str">
        <f aca="false">IFERROR(C7*F7,"")</f>
        <v/>
      </c>
      <c r="H7" s="5" t="s">
        <v>64</v>
      </c>
    </row>
    <row r="8" customFormat="false" ht="15" hidden="false" customHeight="false" outlineLevel="0" collapsed="false">
      <c r="A8" s="0" t="s">
        <v>97</v>
      </c>
      <c r="B8" s="0" t="s">
        <v>98</v>
      </c>
      <c r="D8" s="5" t="s">
        <v>99</v>
      </c>
      <c r="E8" s="0" t="n">
        <v>4</v>
      </c>
      <c r="F8" s="5" t="s">
        <v>100</v>
      </c>
      <c r="G8" s="2" t="str">
        <f aca="false">IFERROR(C8*F8,"")</f>
        <v/>
      </c>
      <c r="H8" s="5" t="s">
        <v>64</v>
      </c>
      <c r="I8" s="5" t="s">
        <v>101</v>
      </c>
    </row>
    <row r="9" customFormat="false" ht="15" hidden="false" customHeight="false" outlineLevel="0" collapsed="false">
      <c r="A9" s="0" t="s">
        <v>102</v>
      </c>
      <c r="B9" s="0" t="s">
        <v>103</v>
      </c>
      <c r="C9" s="0" t="n">
        <v>18</v>
      </c>
      <c r="D9" s="5" t="s">
        <v>104</v>
      </c>
      <c r="E9" s="0" t="n">
        <v>12</v>
      </c>
      <c r="F9" s="0" t="n">
        <v>6.2</v>
      </c>
      <c r="G9" s="2" t="n">
        <f aca="false">IFERROR(C9*F9,"")</f>
        <v>111.6</v>
      </c>
      <c r="H9" s="5" t="s">
        <v>91</v>
      </c>
    </row>
    <row r="10" customFormat="false" ht="15" hidden="false" customHeight="false" outlineLevel="0" collapsed="false">
      <c r="A10" s="0" t="s">
        <v>105</v>
      </c>
      <c r="B10" s="0" t="s">
        <v>106</v>
      </c>
      <c r="C10" s="0" t="s">
        <v>107</v>
      </c>
      <c r="D10" s="5" t="s">
        <v>108</v>
      </c>
      <c r="E10" s="0" t="n">
        <v>12</v>
      </c>
      <c r="F10" s="5" t="s">
        <v>109</v>
      </c>
      <c r="G10" s="2" t="str">
        <f aca="false">IFERROR(C10*F10,"")</f>
        <v/>
      </c>
      <c r="H10" s="5" t="s">
        <v>91</v>
      </c>
    </row>
    <row r="11" customFormat="false" ht="15" hidden="false" customHeight="false" outlineLevel="0" collapsed="false">
      <c r="A11" s="0" t="s">
        <v>110</v>
      </c>
      <c r="B11" s="0" t="s">
        <v>111</v>
      </c>
      <c r="C11" s="0" t="s">
        <v>112</v>
      </c>
      <c r="D11" s="5" t="s">
        <v>113</v>
      </c>
      <c r="E11" s="0" t="n">
        <v>0</v>
      </c>
      <c r="F11" s="5" t="s">
        <v>114</v>
      </c>
      <c r="G11" s="2" t="str">
        <f aca="false">IFERROR(C11*F11,"")</f>
        <v/>
      </c>
      <c r="H11" s="5" t="s">
        <v>64</v>
      </c>
    </row>
    <row r="12" customFormat="false" ht="15" hidden="false" customHeight="false" outlineLevel="0" collapsed="false">
      <c r="A12" s="0" t="s">
        <v>115</v>
      </c>
      <c r="B12" s="0" t="s">
        <v>116</v>
      </c>
      <c r="C12" s="0" t="s">
        <v>117</v>
      </c>
      <c r="D12" s="5" t="s">
        <v>118</v>
      </c>
      <c r="E12" s="0" t="n">
        <v>0</v>
      </c>
      <c r="F12" s="0" t="n">
        <v>24.5</v>
      </c>
      <c r="G12" s="2" t="str">
        <f aca="false">IFERROR(C12*F12,"")</f>
        <v/>
      </c>
      <c r="H12" s="5" t="s">
        <v>64</v>
      </c>
    </row>
    <row r="13" customFormat="false" ht="15" hidden="false" customHeight="false" outlineLevel="0" collapsed="false">
      <c r="A13" s="0" t="s">
        <v>119</v>
      </c>
      <c r="B13" s="0" t="s">
        <v>120</v>
      </c>
      <c r="C13" s="0" t="s">
        <v>121</v>
      </c>
      <c r="D13" s="5" t="s">
        <v>122</v>
      </c>
      <c r="E13" s="0" t="n">
        <v>5</v>
      </c>
      <c r="F13" s="0" t="n">
        <v>18.9</v>
      </c>
      <c r="G13" s="2" t="str">
        <f aca="false">IFERROR(C13*F13,"")</f>
        <v/>
      </c>
    </row>
    <row r="14" customFormat="false" ht="15" hidden="false" customHeight="false" outlineLevel="0" collapsed="false">
      <c r="D14" s="5"/>
    </row>
    <row r="15" customFormat="false" ht="15" hidden="false" customHeight="false" outlineLevel="0" collapsed="false">
      <c r="B15" s="0" t="s">
        <v>123</v>
      </c>
      <c r="D15" s="5"/>
      <c r="G15" s="7" t="n">
        <f aca="false">SUM(G5:G13)</f>
        <v>152.1</v>
      </c>
    </row>
    <row r="16" customFormat="false" ht="15" hidden="false" customHeight="false" outlineLevel="0" collapsed="false">
      <c r="D16" s="5"/>
    </row>
    <row r="17" customFormat="false" ht="15" hidden="false" customHeight="false" outlineLevel="0" collapsed="false">
      <c r="D17" s="5"/>
    </row>
    <row r="18" customFormat="false" ht="15" hidden="false" customHeight="false" outlineLevel="0" collapsed="false">
      <c r="D18" s="5"/>
    </row>
    <row r="19" customFormat="false" ht="15" hidden="false" customHeight="false" outlineLevel="0" collapsed="false">
      <c r="D19" s="5"/>
    </row>
    <row r="20" customFormat="false" ht="15" hidden="false" customHeight="false" outlineLevel="0" collapsed="false">
      <c r="D20" s="5"/>
    </row>
    <row r="21" customFormat="false" ht="15" hidden="false" customHeight="false" outlineLevel="0" collapsed="false">
      <c r="D21" s="5"/>
    </row>
    <row r="22" customFormat="false" ht="15" hidden="false" customHeight="false" outlineLevel="0" collapsed="false">
      <c r="D22" s="5"/>
    </row>
    <row r="23" customFormat="false" ht="15" hidden="false" customHeight="false" outlineLevel="0" collapsed="false">
      <c r="D23" s="5"/>
    </row>
    <row r="24" customFormat="false" ht="15" hidden="false" customHeight="false" outlineLevel="0" collapsed="false">
      <c r="D24" s="5"/>
    </row>
    <row r="25" customFormat="false" ht="15" hidden="false" customHeight="false" outlineLevel="0" collapsed="false">
      <c r="D25" s="5"/>
    </row>
    <row r="26" customFormat="false" ht="15" hidden="false" customHeight="false" outlineLevel="0" collapsed="false">
      <c r="D26" s="5"/>
    </row>
    <row r="27" customFormat="false" ht="15" hidden="false" customHeight="false" outlineLevel="0" collapsed="false">
      <c r="D27" s="5"/>
    </row>
    <row r="28" customFormat="false" ht="15" hidden="false" customHeight="false" outlineLevel="0" collapsed="false">
      <c r="D28" s="5"/>
    </row>
    <row r="29" customFormat="false" ht="15" hidden="false" customHeight="false" outlineLevel="0" collapsed="false">
      <c r="D29" s="5"/>
    </row>
    <row r="30" customFormat="false" ht="15" hidden="false" customHeight="false" outlineLevel="0" collapsed="false">
      <c r="D30" s="5"/>
    </row>
    <row r="31" customFormat="false" ht="15" hidden="false" customHeight="false" outlineLevel="0" collapsed="false">
      <c r="D31" s="5"/>
    </row>
    <row r="32" customFormat="false" ht="15" hidden="false" customHeight="false" outlineLevel="0" collapsed="false">
      <c r="D32" s="5"/>
    </row>
    <row r="33" customFormat="false" ht="15" hidden="false" customHeight="false" outlineLevel="0" collapsed="false">
      <c r="D33" s="5"/>
    </row>
    <row r="34" customFormat="false" ht="15" hidden="false" customHeight="false" outlineLevel="0" collapsed="false">
      <c r="D34" s="5"/>
    </row>
    <row r="35" customFormat="false" ht="15" hidden="false" customHeight="false" outlineLevel="0" collapsed="false">
      <c r="D35" s="5"/>
    </row>
    <row r="36" customFormat="false" ht="15" hidden="false" customHeight="false" outlineLevel="0" collapsed="false">
      <c r="D36" s="5"/>
    </row>
    <row r="37" customFormat="false" ht="15" hidden="false" customHeight="false" outlineLevel="0" collapsed="false">
      <c r="D37" s="5"/>
    </row>
    <row r="38" customFormat="false" ht="15" hidden="false" customHeight="false" outlineLevel="0" collapsed="false">
      <c r="D38" s="5"/>
    </row>
    <row r="39" customFormat="false" ht="15" hidden="false" customHeight="false" outlineLevel="0" collapsed="false">
      <c r="D39" s="5"/>
    </row>
    <row r="40" customFormat="false" ht="15" hidden="false" customHeight="false" outlineLevel="0" collapsed="false">
      <c r="D40" s="5"/>
    </row>
  </sheetData>
  <dataValidations count="1">
    <dataValidation allowBlank="false" errorStyle="stop" operator="between" showDropDown="false" showErrorMessage="false" showInputMessage="false" sqref="D5:D40" type="list">
      <formula1>"Sack,Eimer,Kartusche,m²,Rolle,Stk"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124</v>
      </c>
      <c r="B1" s="0" t="s">
        <v>125</v>
      </c>
      <c r="C1" s="0" t="s">
        <v>126</v>
      </c>
      <c r="D1" s="0" t="s">
        <v>127</v>
      </c>
    </row>
    <row r="2" customFormat="false" ht="15" hidden="false" customHeight="false" outlineLevel="0" collapsed="false">
      <c r="A2" s="0" t="n">
        <v>1001</v>
      </c>
      <c r="B2" s="0" t="s">
        <v>128</v>
      </c>
      <c r="C2" s="0" t="n">
        <v>14</v>
      </c>
      <c r="D2" s="0" t="s">
        <v>129</v>
      </c>
    </row>
    <row r="3" customFormat="false" ht="15" hidden="false" customHeight="false" outlineLevel="0" collapsed="false">
      <c r="A3" s="0" t="n">
        <v>1002</v>
      </c>
      <c r="B3" s="0" t="s">
        <v>130</v>
      </c>
      <c r="C3" s="0" t="n">
        <v>30</v>
      </c>
      <c r="D3" s="0" t="s">
        <v>131</v>
      </c>
    </row>
    <row r="4" customFormat="false" ht="15" hidden="false" customHeight="false" outlineLevel="0" collapsed="false">
      <c r="A4" s="0" t="n">
        <v>1003</v>
      </c>
      <c r="B4" s="0" t="s">
        <v>38</v>
      </c>
      <c r="C4" s="0" t="n">
        <v>10</v>
      </c>
      <c r="D4" s="0" t="s">
        <v>132</v>
      </c>
    </row>
    <row r="5" customFormat="false" ht="15" hidden="false" customHeight="false" outlineLevel="0" collapsed="false">
      <c r="A5" s="0" t="n">
        <v>1004</v>
      </c>
      <c r="B5" s="0" t="s">
        <v>133</v>
      </c>
      <c r="C5" s="0" t="n">
        <v>30</v>
      </c>
      <c r="D5" s="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0" t="s">
        <v>136</v>
      </c>
      <c r="B2" s="20" t="s">
        <v>124</v>
      </c>
      <c r="C2" s="20" t="s">
        <v>137</v>
      </c>
      <c r="D2" s="20" t="s">
        <v>8</v>
      </c>
      <c r="E2" s="20" t="s">
        <v>138</v>
      </c>
      <c r="F2" s="20" t="s">
        <v>139</v>
      </c>
      <c r="G2" s="20" t="s">
        <v>140</v>
      </c>
      <c r="H2" s="20" t="s">
        <v>141</v>
      </c>
      <c r="I2" s="20" t="s">
        <v>142</v>
      </c>
      <c r="J2" s="20" t="s">
        <v>143</v>
      </c>
      <c r="K2" s="20" t="s">
        <v>144</v>
      </c>
    </row>
    <row r="3" customFormat="false" ht="15" hidden="false" customHeight="false" outlineLevel="0" collapsed="false">
      <c r="A3" s="0" t="s">
        <v>145</v>
      </c>
      <c r="B3" s="0" t="n">
        <v>1001</v>
      </c>
      <c r="C3" s="0" t="str">
        <f aca="false">IFERROR(VLOOKUP(B3,Kunden!$A:$D,2,FALSE()),"??? unbekannt")</f>
        <v>Becker, Thomas</v>
      </c>
      <c r="D3" s="8" t="n">
        <v>46280</v>
      </c>
      <c r="E3" s="2" t="n">
        <v>8865.5</v>
      </c>
      <c r="F3" s="21" t="n">
        <v>0.19</v>
      </c>
      <c r="G3" s="2" t="n">
        <f aca="false">IFERROR(E3*F3,0)</f>
        <v>1684.445</v>
      </c>
      <c r="H3" s="2" t="n">
        <f aca="false">IFERROR(E3+G3,E3)</f>
        <v>10549.945</v>
      </c>
      <c r="I3" s="8" t="n">
        <f aca="false">D3+IFERROR(VLOOKUP(B3,Kunden!$A:$C,3,FALSE()),14)</f>
        <v>46294</v>
      </c>
      <c r="J3" s="5" t="s">
        <v>146</v>
      </c>
      <c r="K3" s="8" t="n">
        <v>46295</v>
      </c>
    </row>
    <row r="4" customFormat="false" ht="15" hidden="false" customHeight="false" outlineLevel="0" collapsed="false">
      <c r="A4" s="0" t="s">
        <v>147</v>
      </c>
      <c r="B4" s="0" t="n">
        <v>1002</v>
      </c>
      <c r="C4" s="0" t="str">
        <f aca="false">IFERROR(VLOOKUP(B4,Kunden!$A:$D,2,FALSE()),"??? unbekannt")</f>
        <v>Yılmaz GbR</v>
      </c>
      <c r="D4" s="8" t="n">
        <v>46293</v>
      </c>
      <c r="E4" s="2" t="n">
        <v>4120</v>
      </c>
      <c r="F4" s="21" t="n">
        <v>0.19</v>
      </c>
      <c r="G4" s="2" t="n">
        <f aca="false">IFERROR(E4*F4,0)</f>
        <v>782.8</v>
      </c>
      <c r="H4" s="2" t="n">
        <f aca="false">IFERROR(E4+G4,E4)</f>
        <v>4902.8</v>
      </c>
      <c r="I4" s="8" t="n">
        <f aca="false">D4+IFERROR(VLOOKUP(B4,Kunden!$A:$C,3,FALSE()),14)</f>
        <v>46323</v>
      </c>
      <c r="J4" s="5" t="s">
        <v>148</v>
      </c>
    </row>
    <row r="5" customFormat="false" ht="15" hidden="false" customHeight="false" outlineLevel="0" collapsed="false">
      <c r="A5" s="0" t="s">
        <v>149</v>
      </c>
      <c r="B5" s="0" t="n">
        <v>1003</v>
      </c>
      <c r="C5" s="0" t="str">
        <f aca="false">IFERROR(VLOOKUP(B5,Kunden!$A:$D,2,FALSE()),"??? unbekannt")</f>
        <v>Praxis Dr. Hahn</v>
      </c>
      <c r="D5" s="8" t="n">
        <v>46297</v>
      </c>
      <c r="E5" s="2" t="n">
        <v>2380</v>
      </c>
      <c r="F5" s="21" t="n">
        <v>0.07</v>
      </c>
      <c r="G5" s="2" t="n">
        <f aca="false">IFERROR(E5*F5,0)</f>
        <v>166.6</v>
      </c>
      <c r="H5" s="2" t="n">
        <f aca="false">IFERROR(E5+G5,E5)</f>
        <v>2546.6</v>
      </c>
      <c r="I5" s="8" t="n">
        <f aca="false">D5+IFERROR(VLOOKUP(B5,Kunden!$A:$C,3,FALSE()),14)</f>
        <v>46307</v>
      </c>
      <c r="J5" s="5" t="s">
        <v>148</v>
      </c>
    </row>
    <row r="6" customFormat="false" ht="15" hidden="false" customHeight="false" outlineLevel="0" collapsed="false">
      <c r="A6" s="0" t="s">
        <v>149</v>
      </c>
      <c r="B6" s="0" t="n">
        <v>1004</v>
      </c>
      <c r="C6" s="0" t="str">
        <f aca="false">IFERROR(VLOOKUP(B6,Kunden!$A:$D,2,FALSE()),"??? unbekannt")</f>
        <v>Weber Bau GmbH &amp; Co. KG</v>
      </c>
      <c r="D6" s="8" t="n">
        <v>46304</v>
      </c>
      <c r="E6" s="2" t="s">
        <v>150</v>
      </c>
      <c r="F6" s="21" t="n">
        <v>0.19</v>
      </c>
      <c r="G6" s="2" t="n">
        <f aca="false">IFERROR(E6*F6,0)</f>
        <v>0</v>
      </c>
      <c r="H6" s="2" t="str">
        <f aca="false">IFERROR(E6+G6,E6)</f>
        <v>12.400,00</v>
      </c>
      <c r="I6" s="8" t="n">
        <f aca="false">D6+IFERROR(VLOOKUP(B6,Kunden!$A:$C,3,FALSE()),14)</f>
        <v>46334</v>
      </c>
      <c r="J6" s="5" t="s">
        <v>151</v>
      </c>
    </row>
    <row r="7" customFormat="false" ht="15" hidden="false" customHeight="false" outlineLevel="0" collapsed="false">
      <c r="A7" s="0" t="s">
        <v>152</v>
      </c>
      <c r="B7" s="0" t="n">
        <v>9999</v>
      </c>
      <c r="C7" s="0" t="str">
        <f aca="false">IFERROR(VLOOKUP(B7,Kunden!$A:$D,2,FALSE()),"??? unbekannt")</f>
        <v>??? unbekannt</v>
      </c>
      <c r="D7" s="8" t="n">
        <v>46307</v>
      </c>
      <c r="E7" s="2" t="n">
        <v>950</v>
      </c>
      <c r="F7" s="21" t="n">
        <v>19</v>
      </c>
      <c r="G7" s="2" t="n">
        <f aca="false">IFERROR(E7*F7,0)</f>
        <v>18050</v>
      </c>
      <c r="H7" s="2" t="n">
        <f aca="false">IFERROR(E7+G7,E7)</f>
        <v>19000</v>
      </c>
      <c r="I7" s="8" t="n">
        <f aca="false">D7+IFERROR(VLOOKUP(B7,Kunden!$A:$C,3,FALSE()),14)</f>
        <v>46321</v>
      </c>
      <c r="J7" s="5" t="s">
        <v>153</v>
      </c>
    </row>
    <row r="8" customFormat="false" ht="15" hidden="false" customHeight="false" outlineLevel="0" collapsed="false">
      <c r="J8" s="5"/>
    </row>
    <row r="9" customFormat="false" ht="15" hidden="false" customHeight="false" outlineLevel="0" collapsed="false">
      <c r="D9" s="0" t="s">
        <v>154</v>
      </c>
      <c r="H9" s="7" t="n">
        <f aca="false">SUMIF(J3:J7,"offen",H3:H7)</f>
        <v>26449.4</v>
      </c>
      <c r="J9" s="5"/>
    </row>
    <row r="10" customFormat="false" ht="15" hidden="false" customHeight="false" outlineLevel="0" collapsed="false">
      <c r="J10" s="5"/>
    </row>
    <row r="11" customFormat="false" ht="15" hidden="false" customHeight="false" outlineLevel="0" collapsed="false">
      <c r="J11" s="5"/>
    </row>
    <row r="12" customFormat="false" ht="15" hidden="false" customHeight="false" outlineLevel="0" collapsed="false">
      <c r="J12" s="5"/>
    </row>
    <row r="13" customFormat="false" ht="15" hidden="false" customHeight="false" outlineLevel="0" collapsed="false">
      <c r="J13" s="5"/>
    </row>
    <row r="14" customFormat="false" ht="15" hidden="false" customHeight="false" outlineLevel="0" collapsed="false">
      <c r="J14" s="5"/>
    </row>
    <row r="15" customFormat="false" ht="15" hidden="false" customHeight="false" outlineLevel="0" collapsed="false">
      <c r="J15" s="5"/>
    </row>
    <row r="16" customFormat="false" ht="15" hidden="false" customHeight="false" outlineLevel="0" collapsed="false">
      <c r="J16" s="5"/>
    </row>
    <row r="17" customFormat="false" ht="15" hidden="false" customHeight="false" outlineLevel="0" collapsed="false">
      <c r="J17" s="5"/>
    </row>
    <row r="18" customFormat="false" ht="15" hidden="false" customHeight="false" outlineLevel="0" collapsed="false">
      <c r="J18" s="5"/>
    </row>
    <row r="19" customFormat="false" ht="15" hidden="false" customHeight="false" outlineLevel="0" collapsed="false">
      <c r="J19" s="5"/>
    </row>
    <row r="20" customFormat="false" ht="15" hidden="false" customHeight="false" outlineLevel="0" collapsed="false">
      <c r="J20" s="5"/>
    </row>
    <row r="21" customFormat="false" ht="15" hidden="false" customHeight="false" outlineLevel="0" collapsed="false">
      <c r="J21" s="5"/>
    </row>
    <row r="22" customFormat="false" ht="15" hidden="false" customHeight="false" outlineLevel="0" collapsed="false">
      <c r="J22" s="5"/>
    </row>
    <row r="23" customFormat="false" ht="15" hidden="false" customHeight="false" outlineLevel="0" collapsed="false">
      <c r="J23" s="5"/>
    </row>
    <row r="24" customFormat="false" ht="15" hidden="false" customHeight="false" outlineLevel="0" collapsed="false">
      <c r="J24" s="5"/>
    </row>
    <row r="25" customFormat="false" ht="15" hidden="false" customHeight="false" outlineLevel="0" collapsed="false">
      <c r="J25" s="5"/>
    </row>
    <row r="26" customFormat="false" ht="15" hidden="false" customHeight="false" outlineLevel="0" collapsed="false">
      <c r="J26" s="5"/>
    </row>
    <row r="27" customFormat="false" ht="15" hidden="false" customHeight="false" outlineLevel="0" collapsed="false">
      <c r="J27" s="5"/>
    </row>
    <row r="28" customFormat="false" ht="15" hidden="false" customHeight="false" outlineLevel="0" collapsed="false">
      <c r="J28" s="5"/>
    </row>
    <row r="29" customFormat="false" ht="15" hidden="false" customHeight="false" outlineLevel="0" collapsed="false">
      <c r="J29" s="5"/>
    </row>
    <row r="30" customFormat="false" ht="15" hidden="false" customHeight="false" outlineLevel="0" collapsed="false">
      <c r="J30" s="5"/>
    </row>
    <row r="31" customFormat="false" ht="15" hidden="false" customHeight="false" outlineLevel="0" collapsed="false">
      <c r="J31" s="5"/>
    </row>
    <row r="32" customFormat="false" ht="15" hidden="false" customHeight="false" outlineLevel="0" collapsed="false">
      <c r="J32" s="5"/>
    </row>
    <row r="33" customFormat="false" ht="15" hidden="false" customHeight="false" outlineLevel="0" collapsed="false">
      <c r="J33" s="5"/>
    </row>
    <row r="34" customFormat="false" ht="15" hidden="false" customHeight="false" outlineLevel="0" collapsed="false">
      <c r="J34" s="5"/>
    </row>
    <row r="35" customFormat="false" ht="15" hidden="false" customHeight="false" outlineLevel="0" collapsed="false">
      <c r="J35" s="5"/>
    </row>
    <row r="36" customFormat="false" ht="15" hidden="false" customHeight="false" outlineLevel="0" collapsed="false">
      <c r="J36" s="5"/>
    </row>
    <row r="37" customFormat="false" ht="15" hidden="false" customHeight="false" outlineLevel="0" collapsed="false">
      <c r="J37" s="5"/>
    </row>
    <row r="38" customFormat="false" ht="15" hidden="false" customHeight="false" outlineLevel="0" collapsed="false">
      <c r="J38" s="5"/>
    </row>
    <row r="39" customFormat="false" ht="15" hidden="false" customHeight="false" outlineLevel="0" collapsed="false">
      <c r="J39" s="5"/>
    </row>
    <row r="40" customFormat="false" ht="15" hidden="false" customHeight="false" outlineLevel="0" collapsed="false">
      <c r="J40" s="5"/>
    </row>
    <row r="41" customFormat="false" ht="15" hidden="false" customHeight="false" outlineLevel="0" collapsed="false">
      <c r="J41" s="5"/>
    </row>
    <row r="42" customFormat="false" ht="15" hidden="false" customHeight="false" outlineLevel="0" collapsed="false">
      <c r="J42" s="5"/>
    </row>
    <row r="43" customFormat="false" ht="15" hidden="false" customHeight="false" outlineLevel="0" collapsed="false">
      <c r="J43" s="5"/>
    </row>
    <row r="44" customFormat="false" ht="15" hidden="false" customHeight="false" outlineLevel="0" collapsed="false">
      <c r="J44" s="5"/>
    </row>
    <row r="45" customFormat="false" ht="15" hidden="false" customHeight="false" outlineLevel="0" collapsed="false">
      <c r="J45" s="5"/>
    </row>
    <row r="46" customFormat="false" ht="15" hidden="false" customHeight="false" outlineLevel="0" collapsed="false">
      <c r="J46" s="5"/>
    </row>
    <row r="47" customFormat="false" ht="15" hidden="false" customHeight="false" outlineLevel="0" collapsed="false">
      <c r="J47" s="5"/>
    </row>
    <row r="48" customFormat="false" ht="15" hidden="false" customHeight="false" outlineLevel="0" collapsed="false">
      <c r="J48" s="5"/>
    </row>
    <row r="49" customFormat="false" ht="15" hidden="false" customHeight="false" outlineLevel="0" collapsed="false">
      <c r="J49" s="5"/>
    </row>
    <row r="50" customFormat="false" ht="15" hidden="false" customHeight="false" outlineLevel="0" collapsed="false">
      <c r="J50" s="5"/>
    </row>
  </sheetData>
  <dataValidations count="1">
    <dataValidation allowBlank="false" errorStyle="stop" operator="between" showDropDown="false" showErrorMessage="false" showInputMessage="false" sqref="J3:J50" type="list">
      <formula1>"offen,bezahlt,Teilzahlung,Mahnung"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2026-10-20T01:05:18Z</dcterms:created>
  <dc:creator>openpyxl</dc:creator>
  <dc:description/>
  <dc:language>en-US</dc:language>
  <cp:lastModifiedBy/>
  <dcterms:modified xsi:type="dcterms:W3CDTF">2026-10-20T01:05:18Z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