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Übersicht" sheetId="1" state="visible" r:id="rId3"/>
    <sheet name="Stunden Oktober" sheetId="2" state="visible" r:id="rId4"/>
    <sheet name="Kunden" sheetId="3" state="hidden" r:id="rId5"/>
    <sheet name="Aufträge" sheetId="4" state="visible" r:id="rId6"/>
    <sheet name="Lag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<sst xmlns="http://schemas.openxmlformats.org/spreadsheetml/2006/main" count="222" uniqueCount="160">
  <si>
    <t xml:space="preserve">Fliesen Krause – Monatsübersicht Oktober 2026</t>
  </si>
  <si>
    <t xml:space="preserve">automatisch – hier bitte nichts eintragen</t>
  </si>
  <si>
    <t xml:space="preserve">Stunden Oktober</t>
  </si>
  <si>
    <t xml:space="preserve">Lohnkosten Oktober</t>
  </si>
  <si>
    <t xml:space="preserve">Rechnungen offen (brutto)</t>
  </si>
  <si>
    <t xml:space="preserve">Umsatz netto 2026</t>
  </si>
  <si>
    <t xml:space="preserve">Lagerwert</t>
  </si>
  <si>
    <t xml:space="preserve">Artikel nachbestellen</t>
  </si>
  <si>
    <t xml:space="preserve">Fliesen Krause GmbH · Gneisenaustr. 22 · Berlin</t>
  </si>
  <si>
    <t xml:space="preserve">Stundenerfassung Oktober 2026 – bitte jeden Freitag ausfüllen!</t>
  </si>
  <si>
    <t xml:space="preserve">Datum</t>
  </si>
  <si>
    <t xml:space="preserve">Wer / Wo</t>
  </si>
  <si>
    <t xml:space="preserve">Arbeitszeit</t>
  </si>
  <si>
    <t xml:space="preserve">Stunden</t>
  </si>
  <si>
    <t xml:space="preserve">Lohn €</t>
  </si>
  <si>
    <t xml:space="preserve">Tätigkeit / Notiz</t>
  </si>
  <si>
    <t xml:space="preserve">Mitarbeiter</t>
  </si>
  <si>
    <t xml:space="preserve">Satz €/Std.</t>
  </si>
  <si>
    <t xml:space="preserve">Baustelle</t>
  </si>
  <si>
    <t xml:space="preserve">Beginn</t>
  </si>
  <si>
    <t xml:space="preserve">Ende</t>
  </si>
  <si>
    <t xml:space="preserve">Pause (Min.)</t>
  </si>
  <si>
    <t xml:space="preserve">Mehmet</t>
  </si>
  <si>
    <t xml:space="preserve">— KW 40 —</t>
  </si>
  <si>
    <t xml:space="preserve">Kevin</t>
  </si>
  <si>
    <t xml:space="preserve">Bad Schneider</t>
  </si>
  <si>
    <t xml:space="preserve">Wand gefliest</t>
  </si>
  <si>
    <t xml:space="preserve">Jonas</t>
  </si>
  <si>
    <t xml:space="preserve">Estrich geprüft</t>
  </si>
  <si>
    <t xml:space="preserve">Ayşe</t>
  </si>
  <si>
    <t xml:space="preserve">Fugen</t>
  </si>
  <si>
    <t xml:space="preserve">Büro / Lager</t>
  </si>
  <si>
    <t xml:space="preserve">Bestellung Kaiser</t>
  </si>
  <si>
    <t xml:space="preserve">Sätze ab 01.07.2026</t>
  </si>
  <si>
    <t xml:space="preserve">Zwischensumme KW 40</t>
  </si>
  <si>
    <t xml:space="preserve">— KW 41 —</t>
  </si>
  <si>
    <t xml:space="preserve">Praxis Dr. Hahn</t>
  </si>
  <si>
    <t xml:space="preserve">Boden 60x60</t>
  </si>
  <si>
    <t xml:space="preserve">06.10.26</t>
  </si>
  <si>
    <t xml:space="preserve">Küche Yılmaz</t>
  </si>
  <si>
    <t xml:space="preserve">7:00</t>
  </si>
  <si>
    <t xml:space="preserve">16:00</t>
  </si>
  <si>
    <t xml:space="preserve">30 min</t>
  </si>
  <si>
    <t xml:space="preserve">Fliesenspiegel</t>
  </si>
  <si>
    <t xml:space="preserve">Sockel</t>
  </si>
  <si>
    <t xml:space="preserve">Silikon</t>
  </si>
  <si>
    <t xml:space="preserve">Inventur</t>
  </si>
  <si>
    <t xml:space="preserve">Zwischensumme KW 41</t>
  </si>
  <si>
    <t xml:space="preserve">— KW 42 —</t>
  </si>
  <si>
    <t xml:space="preserve">Neubau Weber</t>
  </si>
  <si>
    <t xml:space="preserve">Estrich noch feucht – Überstunden</t>
  </si>
  <si>
    <t xml:space="preserve">früh wegen Lieferung</t>
  </si>
  <si>
    <t xml:space="preserve">Bad OG</t>
  </si>
  <si>
    <t xml:space="preserve">mehmet </t>
  </si>
  <si>
    <t xml:space="preserve">Nacharbeit Silikon</t>
  </si>
  <si>
    <t xml:space="preserve">Treppe</t>
  </si>
  <si>
    <t xml:space="preserve">Zwischensumme KW 42</t>
  </si>
  <si>
    <t xml:space="preserve">— KW 43 —</t>
  </si>
  <si>
    <t xml:space="preserve">Bad EG</t>
  </si>
  <si>
    <t xml:space="preserve">GESAMT Oktober</t>
  </si>
  <si>
    <t xml:space="preserve">Stand:</t>
  </si>
  <si>
    <t xml:space="preserve">Kd-Nr</t>
  </si>
  <si>
    <t xml:space="preserve">Name</t>
  </si>
  <si>
    <t xml:space="preserve">Zahlungsziel</t>
  </si>
  <si>
    <t xml:space="preserve">E-Mail</t>
  </si>
  <si>
    <t xml:space="preserve">Becker, Thomas</t>
  </si>
  <si>
    <t xml:space="preserve">t.becker@example.de</t>
  </si>
  <si>
    <t xml:space="preserve">Yılmaz GbR</t>
  </si>
  <si>
    <t xml:space="preserve">info@yilmaz.example</t>
  </si>
  <si>
    <t xml:space="preserve">praxis@hahn.example</t>
  </si>
  <si>
    <t xml:space="preserve">Weber Bau GmbH</t>
  </si>
  <si>
    <t xml:space="preserve">rechnung@weber-bau.example</t>
  </si>
  <si>
    <t xml:space="preserve">Schneider, Anna</t>
  </si>
  <si>
    <t xml:space="preserve">a.schneider@example.de</t>
  </si>
  <si>
    <t xml:space="preserve">Hausverwaltung Lindner</t>
  </si>
  <si>
    <t xml:space="preserve">buchhaltung@lindner.example</t>
  </si>
  <si>
    <t xml:space="preserve">Aufträge und Rechnungen 2026</t>
  </si>
  <si>
    <t xml:space="preserve">Auftrags-Nr</t>
  </si>
  <si>
    <t xml:space="preserve">Kunde</t>
  </si>
  <si>
    <t xml:space="preserve">Netto €</t>
  </si>
  <si>
    <t xml:space="preserve">MwSt-Satz</t>
  </si>
  <si>
    <t xml:space="preserve">MwSt €</t>
  </si>
  <si>
    <t xml:space="preserve">Brutto €</t>
  </si>
  <si>
    <t xml:space="preserve">Rechnung am</t>
  </si>
  <si>
    <t xml:space="preserve">Fällig am</t>
  </si>
  <si>
    <t xml:space="preserve">Status</t>
  </si>
  <si>
    <t xml:space="preserve">bezahlt am</t>
  </si>
  <si>
    <t xml:space="preserve">2026-028</t>
  </si>
  <si>
    <t xml:space="preserve">bezahlt</t>
  </si>
  <si>
    <t xml:space="preserve">2026-029</t>
  </si>
  <si>
    <t xml:space="preserve">Gäste-WC Becker</t>
  </si>
  <si>
    <t xml:space="preserve">offen</t>
  </si>
  <si>
    <t xml:space="preserve">2026-030</t>
  </si>
  <si>
    <t xml:space="preserve">2026-031</t>
  </si>
  <si>
    <t xml:space="preserve">Teilzahlung</t>
  </si>
  <si>
    <t xml:space="preserve">Treppenhaus Lindner</t>
  </si>
  <si>
    <t xml:space="preserve">4.250,00</t>
  </si>
  <si>
    <t xml:space="preserve">2026-033</t>
  </si>
  <si>
    <t xml:space="preserve">Neubau Weber (Abschlag 1)</t>
  </si>
  <si>
    <t xml:space="preserve">2026-034</t>
  </si>
  <si>
    <t xml:space="preserve">Balkon Krüger</t>
  </si>
  <si>
    <t xml:space="preserve">2026-035</t>
  </si>
  <si>
    <t xml:space="preserve">Neubau Weber (Abschlag 2)</t>
  </si>
  <si>
    <t xml:space="preserve">Angebot</t>
  </si>
  <si>
    <t xml:space="preserve">Summe</t>
  </si>
  <si>
    <t xml:space="preserve">davon offen:</t>
  </si>
  <si>
    <t xml:space="preserve">Lagerliste Werkstatt</t>
  </si>
  <si>
    <t xml:space="preserve">gezählt: 09.10. (Ayşe)</t>
  </si>
  <si>
    <t xml:space="preserve">Art.-Nr</t>
  </si>
  <si>
    <t xml:space="preserve">Artikel</t>
  </si>
  <si>
    <t xml:space="preserve">Bestand</t>
  </si>
  <si>
    <t xml:space="preserve">Einheit</t>
  </si>
  <si>
    <t xml:space="preserve">Mindestbestand</t>
  </si>
  <si>
    <t xml:space="preserve">EK-Preis €</t>
  </si>
  <si>
    <t xml:space="preserve">Wert €</t>
  </si>
  <si>
    <t xml:space="preserve">Nachbestellen</t>
  </si>
  <si>
    <t xml:space="preserve">Lieferant</t>
  </si>
  <si>
    <t xml:space="preserve">A-1001</t>
  </si>
  <si>
    <t xml:space="preserve">Fliesenkleber C2TE 25 kg</t>
  </si>
  <si>
    <t xml:space="preserve">Sack</t>
  </si>
  <si>
    <t xml:space="preserve">Baustoff Kaiser</t>
  </si>
  <si>
    <t xml:space="preserve">A-1002</t>
  </si>
  <si>
    <t xml:space="preserve">Flexkleber S1 25 kg</t>
  </si>
  <si>
    <t xml:space="preserve">A-1010</t>
  </si>
  <si>
    <t xml:space="preserve">Fugenmörtel grau 5 kg</t>
  </si>
  <si>
    <t xml:space="preserve">9</t>
  </si>
  <si>
    <t xml:space="preserve">Eimer</t>
  </si>
  <si>
    <t xml:space="preserve">Weber KG</t>
  </si>
  <si>
    <t xml:space="preserve">A-1011</t>
  </si>
  <si>
    <t xml:space="preserve">Fugenmörtel anthrazit 5 kg</t>
  </si>
  <si>
    <t xml:space="preserve">A-1020</t>
  </si>
  <si>
    <t xml:space="preserve">Silikon sanitär weiß</t>
  </si>
  <si>
    <t xml:space="preserve">Kartusche</t>
  </si>
  <si>
    <t xml:space="preserve">A-1021</t>
  </si>
  <si>
    <t xml:space="preserve">Silikon sanitär grau</t>
  </si>
  <si>
    <t xml:space="preserve">6,20</t>
  </si>
  <si>
    <t xml:space="preserve">A-1030</t>
  </si>
  <si>
    <t xml:space="preserve">Dichtschlämme 2K 15 kg</t>
  </si>
  <si>
    <t xml:space="preserve">A-1031</t>
  </si>
  <si>
    <t xml:space="preserve">Dichtband 10 m</t>
  </si>
  <si>
    <t xml:space="preserve">Rolle</t>
  </si>
  <si>
    <t xml:space="preserve">A-1040</t>
  </si>
  <si>
    <t xml:space="preserve">Tiefengrund 10 l</t>
  </si>
  <si>
    <t xml:space="preserve">Kanister</t>
  </si>
  <si>
    <t xml:space="preserve">A-1050</t>
  </si>
  <si>
    <t xml:space="preserve">Abschlussprofil Alu 2,5 m</t>
  </si>
  <si>
    <t xml:space="preserve">Stk</t>
  </si>
  <si>
    <t xml:space="preserve">A-1060</t>
  </si>
  <si>
    <t xml:space="preserve">Feinsteinzeug 60x60 anthrazit</t>
  </si>
  <si>
    <t xml:space="preserve">12,5</t>
  </si>
  <si>
    <t xml:space="preserve">m²</t>
  </si>
  <si>
    <t xml:space="preserve">A-1061</t>
  </si>
  <si>
    <t xml:space="preserve">Wandfliese 30x60 weiß matt</t>
  </si>
  <si>
    <t xml:space="preserve">ca. 30</t>
  </si>
  <si>
    <t xml:space="preserve">A-1070</t>
  </si>
  <si>
    <t xml:space="preserve">Fliesenkreuze 3 mm</t>
  </si>
  <si>
    <t xml:space="preserve">Beutel</t>
  </si>
  <si>
    <t xml:space="preserve">A-1080</t>
  </si>
  <si>
    <t xml:space="preserve">Entkopplungsmatte 30 m²</t>
  </si>
  <si>
    <t xml:space="preserve">Lagerwert gesamt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</si>
</sst>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0.00&quot; €&quot;"/>
    <numFmt numFmtId="167" formatCode="0"/>
    <numFmt numFmtId="168" formatCode="dd\.mm\.yyyy"/>
    <numFmt numFmtId="169" formatCode="hh:mm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0F6B5C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i val="true"/>
      <sz val="11"/>
      <color rgb="FF0F6B5C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6B5C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F6DD6A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E"/>
      </left>
      <right style="thin">
        <color rgb="FFB7C2BE"/>
      </right>
      <top style="thin">
        <color rgb="FFB7C2BE"/>
      </top>
      <bottom style="thin">
        <color rgb="FFB7C2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5C"/>
      <rgbColor rgb="FFB7C2BE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6DD6A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4" min="4" style="0" width="1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  <c r="D5" s="4" t="n">
        <f aca="false">'Stunden Oktober'!H31</f>
        <v>141.5</v>
      </c>
    </row>
    <row r="6" customFormat="false" ht="16.15" hidden="false" customHeight="false" outlineLevel="0" collapsed="false">
      <c r="B6" s="3" t="s">
        <v>3</v>
      </c>
      <c r="D6" s="5" t="n">
        <f aca="false">'Stunden Oktober'!I31</f>
        <v>6700</v>
      </c>
    </row>
    <row r="7" customFormat="false" ht="16.15" hidden="false" customHeight="false" outlineLevel="0" collapsed="false">
      <c r="B7" s="3" t="s">
        <v>4</v>
      </c>
      <c r="D7" s="5" t="n">
        <f aca="false">Aufträge!H14</f>
        <v>316576</v>
      </c>
    </row>
    <row r="8" customFormat="false" ht="16.15" hidden="false" customHeight="false" outlineLevel="0" collapsed="false">
      <c r="B8" s="3" t="s">
        <v>5</v>
      </c>
      <c r="D8" s="5" t="n">
        <f aca="false">Aufträge!E13</f>
        <v>50660</v>
      </c>
    </row>
    <row r="9" customFormat="false" ht="16.15" hidden="false" customHeight="false" outlineLevel="0" collapsed="false">
      <c r="B9" s="3" t="s">
        <v>6</v>
      </c>
      <c r="D9" s="5" t="n">
        <f aca="false">Lager!G19</f>
        <v>1499.9</v>
      </c>
    </row>
    <row r="10" customFormat="false" ht="16.15" hidden="false" customHeight="false" outlineLevel="0" collapsed="false">
      <c r="B10" s="3" t="s">
        <v>7</v>
      </c>
      <c r="D10" s="6" t="n">
        <f aca="false">COUNTIF(Lager!H4:H17,"JA")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8" min="5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3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7.35" hidden="false" customHeight="false" outlineLevel="0" collapsed="false">
      <c r="B1" s="7" t="s">
        <v>8</v>
      </c>
    </row>
    <row r="2" customFormat="false" ht="15" hidden="false" customHeight="false" outlineLevel="0" collapsed="false">
      <c r="B2" s="8" t="s">
        <v>9</v>
      </c>
    </row>
    <row r="4" customFormat="false" ht="15" hidden="false" customHeight="true" outlineLevel="0" collapsed="false">
      <c r="B4" s="9" t="s">
        <v>10</v>
      </c>
      <c r="C4" s="9" t="s">
        <v>11</v>
      </c>
      <c r="D4" s="9"/>
      <c r="E4" s="9" t="s">
        <v>12</v>
      </c>
      <c r="F4" s="9"/>
      <c r="G4" s="9"/>
      <c r="H4" s="9" t="s">
        <v>13</v>
      </c>
      <c r="I4" s="9" t="s">
        <v>14</v>
      </c>
      <c r="J4" s="9" t="s">
        <v>15</v>
      </c>
      <c r="L4" s="10" t="s">
        <v>16</v>
      </c>
      <c r="M4" s="10" t="s">
        <v>17</v>
      </c>
    </row>
    <row r="5" customFormat="false" ht="28.35" hidden="false" customHeight="false" outlineLevel="0" collapsed="false">
      <c r="B5" s="9"/>
      <c r="C5" s="9" t="s">
        <v>16</v>
      </c>
      <c r="D5" s="9" t="s">
        <v>18</v>
      </c>
      <c r="E5" s="9" t="s">
        <v>19</v>
      </c>
      <c r="F5" s="9" t="s">
        <v>20</v>
      </c>
      <c r="G5" s="9" t="s">
        <v>21</v>
      </c>
      <c r="H5" s="9"/>
      <c r="I5" s="9"/>
      <c r="J5" s="9"/>
      <c r="L5" s="11" t="s">
        <v>22</v>
      </c>
      <c r="M5" s="12" t="n">
        <v>52</v>
      </c>
    </row>
    <row r="6" customFormat="false" ht="15" hidden="false" customHeight="false" outlineLevel="0" collapsed="false">
      <c r="B6" s="13" t="s">
        <v>23</v>
      </c>
      <c r="L6" s="11" t="s">
        <v>24</v>
      </c>
      <c r="M6" s="12" t="n">
        <v>45</v>
      </c>
    </row>
    <row r="7" customFormat="false" ht="15" hidden="false" customHeight="false" outlineLevel="0" collapsed="false">
      <c r="B7" s="14" t="n">
        <v>46296</v>
      </c>
      <c r="C7" s="15" t="s">
        <v>22</v>
      </c>
      <c r="D7" s="15" t="s">
        <v>25</v>
      </c>
      <c r="E7" s="16" t="n">
        <v>0.291666666666667</v>
      </c>
      <c r="F7" s="16" t="n">
        <v>0.666666666666667</v>
      </c>
      <c r="G7" s="15" t="n">
        <v>30</v>
      </c>
      <c r="H7" s="17" t="n">
        <f aca="false">IFERROR(ROUND((F7-E7)*24-IF(ISNUMBER(G7),G7,0)/60,2),"")</f>
        <v>8.5</v>
      </c>
      <c r="I7" s="18" t="n">
        <f aca="false">IF(ISNUMBER(H7),ROUND(H7*VLOOKUP(TRIM(C7),$L$5:$M$8,2,FALSE()),2),"")</f>
        <v>442</v>
      </c>
      <c r="J7" s="15" t="s">
        <v>26</v>
      </c>
      <c r="L7" s="11" t="s">
        <v>27</v>
      </c>
      <c r="M7" s="12" t="n">
        <v>45</v>
      </c>
    </row>
    <row r="8" customFormat="false" ht="15" hidden="false" customHeight="false" outlineLevel="0" collapsed="false">
      <c r="B8" s="14" t="n">
        <v>46296</v>
      </c>
      <c r="C8" s="15" t="s">
        <v>24</v>
      </c>
      <c r="D8" s="15" t="s">
        <v>25</v>
      </c>
      <c r="E8" s="16" t="n">
        <v>0.291666666666667</v>
      </c>
      <c r="F8" s="16" t="n">
        <v>0.645833333333333</v>
      </c>
      <c r="G8" s="15" t="n">
        <v>30</v>
      </c>
      <c r="H8" s="17" t="n">
        <f aca="false">IFERROR(ROUND((F8-E8)*24-IF(ISNUMBER(G8),G8,0)/60,2),"")</f>
        <v>8</v>
      </c>
      <c r="I8" s="18" t="n">
        <f aca="false">IF(ISNUMBER(H8),ROUND(H8*VLOOKUP(TRIM(C8),$L$5:$M$8,2,FALSE()),2),"")</f>
        <v>360</v>
      </c>
      <c r="J8" s="15" t="s">
        <v>28</v>
      </c>
      <c r="L8" s="11" t="s">
        <v>29</v>
      </c>
      <c r="M8" s="12" t="n">
        <v>38</v>
      </c>
    </row>
    <row r="9" customFormat="false" ht="15" hidden="false" customHeight="false" outlineLevel="0" collapsed="false">
      <c r="B9" s="14" t="n">
        <v>46297</v>
      </c>
      <c r="C9" s="15" t="s">
        <v>22</v>
      </c>
      <c r="D9" s="15" t="s">
        <v>25</v>
      </c>
      <c r="E9" s="16" t="n">
        <v>0.291666666666667</v>
      </c>
      <c r="F9" s="16" t="n">
        <v>0.625</v>
      </c>
      <c r="G9" s="15" t="n">
        <v>30</v>
      </c>
      <c r="H9" s="17" t="n">
        <f aca="false">IFERROR(ROUND((F9-E9)*24-IF(ISNUMBER(G9),G9,0)/60,2),"")</f>
        <v>7.5</v>
      </c>
      <c r="I9" s="18" t="n">
        <f aca="false">IF(ISNUMBER(H9),ROUND(H9*VLOOKUP(TRIM(C9),$L$5:$M$8,2,FALSE()),2),"")</f>
        <v>390</v>
      </c>
      <c r="J9" s="15" t="s">
        <v>30</v>
      </c>
    </row>
    <row r="10" customFormat="false" ht="15" hidden="false" customHeight="false" outlineLevel="0" collapsed="false">
      <c r="B10" s="14" t="n">
        <v>46297</v>
      </c>
      <c r="C10" s="15" t="s">
        <v>29</v>
      </c>
      <c r="D10" s="15" t="s">
        <v>31</v>
      </c>
      <c r="E10" s="16" t="n">
        <v>0.333333333333333</v>
      </c>
      <c r="F10" s="16" t="n">
        <v>0.520833333333333</v>
      </c>
      <c r="G10" s="15" t="n">
        <v>0</v>
      </c>
      <c r="H10" s="17" t="n">
        <f aca="false">IFERROR(ROUND((F10-E10)*24-IF(ISNUMBER(G10),G10,0)/60,2),"")</f>
        <v>4.5</v>
      </c>
      <c r="I10" s="18" t="n">
        <f aca="false">IF(ISNUMBER(H10),ROUND(H10*VLOOKUP(TRIM(C10),$L$5:$M$8,2,FALSE()),2),"")</f>
        <v>171</v>
      </c>
      <c r="J10" s="15" t="s">
        <v>32</v>
      </c>
      <c r="L10" s="2" t="s">
        <v>33</v>
      </c>
    </row>
    <row r="11" customFormat="false" ht="15" hidden="false" customHeight="false" outlineLevel="0" collapsed="false">
      <c r="B11" s="19" t="s">
        <v>34</v>
      </c>
      <c r="C11" s="20"/>
      <c r="D11" s="20"/>
      <c r="E11" s="20"/>
      <c r="F11" s="20"/>
      <c r="G11" s="20"/>
      <c r="H11" s="21" t="n">
        <f aca="false">SUBTOTAL(9,H7:H10)</f>
        <v>28.5</v>
      </c>
      <c r="I11" s="22" t="n">
        <f aca="false">SUBTOTAL(9,I7:I10)</f>
        <v>1363</v>
      </c>
      <c r="J11" s="20"/>
    </row>
    <row r="12" customFormat="false" ht="15" hidden="false" customHeight="false" outlineLevel="0" collapsed="false">
      <c r="B12" s="13" t="s">
        <v>35</v>
      </c>
    </row>
    <row r="13" customFormat="false" ht="15" hidden="false" customHeight="false" outlineLevel="0" collapsed="false">
      <c r="B13" s="14" t="n">
        <v>46300</v>
      </c>
      <c r="C13" s="15" t="s">
        <v>27</v>
      </c>
      <c r="D13" s="15" t="s">
        <v>36</v>
      </c>
      <c r="E13" s="16" t="n">
        <v>0.291666666666667</v>
      </c>
      <c r="F13" s="16" t="n">
        <v>0.6875</v>
      </c>
      <c r="G13" s="15" t="n">
        <v>45</v>
      </c>
      <c r="H13" s="17" t="n">
        <f aca="false">IFERROR(ROUND((F13-E13)*24-IF(ISNUMBER(G13),G13,0)/60,2),"")</f>
        <v>8.75</v>
      </c>
      <c r="I13" s="18" t="n">
        <f aca="false">IF(ISNUMBER(H13),ROUND(H13*VLOOKUP(TRIM(C13),$L$5:$M$8,2,FALSE()),2),"")</f>
        <v>393.75</v>
      </c>
      <c r="J13" s="15" t="s">
        <v>37</v>
      </c>
    </row>
    <row r="14" customFormat="false" ht="15" hidden="false" customHeight="false" outlineLevel="0" collapsed="false">
      <c r="B14" s="15" t="s">
        <v>38</v>
      </c>
      <c r="C14" s="15" t="s">
        <v>22</v>
      </c>
      <c r="D14" s="15" t="s">
        <v>39</v>
      </c>
      <c r="E14" s="15" t="s">
        <v>40</v>
      </c>
      <c r="F14" s="15" t="s">
        <v>41</v>
      </c>
      <c r="G14" s="15" t="s">
        <v>42</v>
      </c>
      <c r="H14" s="17" t="n">
        <f aca="false">IFERROR(ROUND((F14-E14)*24-IF(ISNUMBER(G14),G14,0)/60,2),"")</f>
        <v>9</v>
      </c>
      <c r="I14" s="18" t="n">
        <f aca="false">IF(ISNUMBER(H14),ROUND(H14*VLOOKUP(TRIM(C14),$L$5:$M$8,2,FALSE()),2),"")</f>
        <v>468</v>
      </c>
      <c r="J14" s="15" t="s">
        <v>43</v>
      </c>
    </row>
    <row r="15" customFormat="false" ht="15" hidden="false" customHeight="false" outlineLevel="0" collapsed="false">
      <c r="B15" s="14" t="n">
        <v>46301</v>
      </c>
      <c r="C15" s="15" t="s">
        <v>24</v>
      </c>
      <c r="D15" s="15" t="s">
        <v>36</v>
      </c>
      <c r="E15" s="16" t="n">
        <v>0.291666666666667</v>
      </c>
      <c r="F15" s="16" t="n">
        <v>0.708333333333333</v>
      </c>
      <c r="G15" s="15" t="n">
        <v>30</v>
      </c>
      <c r="H15" s="17" t="n">
        <f aca="false">IFERROR(ROUND((F15-E15)*24-IF(ISNUMBER(G15),G15,0)/60,2),"")</f>
        <v>9.5</v>
      </c>
      <c r="I15" s="18" t="n">
        <f aca="false">IF(ISNUMBER(H15),ROUND(H15*VLOOKUP(TRIM(C15),$L$5:$M$8,2,FALSE()),2),"")</f>
        <v>427.5</v>
      </c>
      <c r="J15" s="15" t="s">
        <v>44</v>
      </c>
    </row>
    <row r="16" customFormat="false" ht="15" hidden="false" customHeight="false" outlineLevel="0" collapsed="false">
      <c r="B16" s="14" t="n">
        <v>46302</v>
      </c>
      <c r="C16" s="15" t="s">
        <v>27</v>
      </c>
      <c r="D16" s="15" t="s">
        <v>36</v>
      </c>
      <c r="E16" s="16" t="n">
        <v>0.291666666666667</v>
      </c>
      <c r="F16" s="16" t="n">
        <v>0.645833333333333</v>
      </c>
      <c r="G16" s="15" t="n">
        <v>30</v>
      </c>
      <c r="H16" s="17" t="n">
        <f aca="false">IFERROR(ROUND((F16-E16)*24-IF(ISNUMBER(G16),G16,0)/60,2),"")</f>
        <v>8</v>
      </c>
      <c r="I16" s="18" t="n">
        <f aca="false">IF(ISNUMBER(H16),ROUND(H16*VLOOKUP(TRIM(C16),$L$5:$M$8,2,FALSE()),2),"")</f>
        <v>360</v>
      </c>
      <c r="J16" s="15"/>
    </row>
    <row r="17" customFormat="false" ht="15" hidden="false" customHeight="false" outlineLevel="0" collapsed="false">
      <c r="B17" s="14" t="n">
        <v>46303</v>
      </c>
      <c r="C17" s="15" t="s">
        <v>24</v>
      </c>
      <c r="D17" s="15" t="s">
        <v>39</v>
      </c>
      <c r="E17" s="16" t="n">
        <v>0.270833333333333</v>
      </c>
      <c r="F17" s="16" t="n">
        <v>0.645833333333333</v>
      </c>
      <c r="G17" s="15" t="n">
        <v>15</v>
      </c>
      <c r="H17" s="17" t="n">
        <f aca="false">IFERROR(ROUND((F17-E17)*24-IF(ISNUMBER(G17),G17,0)/60,2),"")</f>
        <v>8.75</v>
      </c>
      <c r="I17" s="18" t="n">
        <f aca="false">IF(ISNUMBER(H17),ROUND(H17*VLOOKUP(TRIM(C17),$L$5:$M$8,2,FALSE()),2),"")</f>
        <v>393.75</v>
      </c>
      <c r="J17" s="15" t="s">
        <v>45</v>
      </c>
    </row>
    <row r="18" customFormat="false" ht="15" hidden="false" customHeight="false" outlineLevel="0" collapsed="false">
      <c r="B18" s="14" t="n">
        <v>46304</v>
      </c>
      <c r="C18" s="15" t="s">
        <v>29</v>
      </c>
      <c r="D18" s="15" t="s">
        <v>31</v>
      </c>
      <c r="E18" s="16" t="n">
        <v>0.333333333333333</v>
      </c>
      <c r="F18" s="16" t="n">
        <v>0.541666666666667</v>
      </c>
      <c r="G18" s="15" t="n">
        <v>0</v>
      </c>
      <c r="H18" s="17" t="n">
        <f aca="false">IFERROR(ROUND((F18-E18)*24-IF(ISNUMBER(G18),G18,0)/60,2),"")</f>
        <v>5</v>
      </c>
      <c r="I18" s="18" t="n">
        <f aca="false">IF(ISNUMBER(H18),ROUND(H18*VLOOKUP(TRIM(C18),$L$5:$M$8,2,FALSE()),2),"")</f>
        <v>190</v>
      </c>
      <c r="J18" s="15" t="s">
        <v>46</v>
      </c>
    </row>
    <row r="19" customFormat="false" ht="15" hidden="false" customHeight="false" outlineLevel="0" collapsed="false">
      <c r="B19" s="19" t="s">
        <v>47</v>
      </c>
      <c r="C19" s="20"/>
      <c r="D19" s="20"/>
      <c r="E19" s="20"/>
      <c r="F19" s="20"/>
      <c r="G19" s="20"/>
      <c r="H19" s="21" t="n">
        <f aca="false">SUBTOTAL(9,H13:H18)</f>
        <v>49</v>
      </c>
      <c r="I19" s="22" t="n">
        <f aca="false">SUBTOTAL(9,I13:I18)</f>
        <v>2233</v>
      </c>
      <c r="J19" s="20"/>
    </row>
    <row r="20" customFormat="false" ht="15" hidden="false" customHeight="false" outlineLevel="0" collapsed="false">
      <c r="B20" s="13" t="s">
        <v>48</v>
      </c>
    </row>
    <row r="21" customFormat="false" ht="15" hidden="false" customHeight="false" outlineLevel="0" collapsed="false">
      <c r="B21" s="14" t="n">
        <v>46307</v>
      </c>
      <c r="C21" s="15" t="s">
        <v>27</v>
      </c>
      <c r="D21" s="15" t="s">
        <v>49</v>
      </c>
      <c r="E21" s="16" t="n">
        <v>0.291666666666667</v>
      </c>
      <c r="F21" s="16" t="n">
        <v>0.770833333333333</v>
      </c>
      <c r="G21" s="15" t="n">
        <v>30</v>
      </c>
      <c r="H21" s="17" t="n">
        <f aca="false">IFERROR(ROUND((F21-E21)*24-IF(ISNUMBER(G21),G21,0)/60,2),"")</f>
        <v>11</v>
      </c>
      <c r="I21" s="18" t="n">
        <f aca="false">IF(ISNUMBER(H21),ROUND(H21*VLOOKUP(TRIM(C21),$L$5:$M$8,2,FALSE()),2),"")</f>
        <v>495</v>
      </c>
      <c r="J21" s="15" t="s">
        <v>50</v>
      </c>
    </row>
    <row r="22" customFormat="false" ht="15" hidden="false" customHeight="false" outlineLevel="0" collapsed="false">
      <c r="B22" s="14" t="n">
        <v>46308</v>
      </c>
      <c r="C22" s="15" t="s">
        <v>27</v>
      </c>
      <c r="D22" s="15" t="s">
        <v>49</v>
      </c>
      <c r="E22" s="16" t="n">
        <v>0.208333333333333</v>
      </c>
      <c r="F22" s="16" t="n">
        <v>0.541666666666667</v>
      </c>
      <c r="G22" s="15" t="n">
        <v>30</v>
      </c>
      <c r="H22" s="17" t="n">
        <f aca="false">IFERROR(ROUND((F22-E22)*24-IF(ISNUMBER(G22),G22,0)/60,2),"")</f>
        <v>7.5</v>
      </c>
      <c r="I22" s="18" t="n">
        <f aca="false">IF(ISNUMBER(H22),ROUND(H22*VLOOKUP(TRIM(C22),$L$5:$M$8,2,FALSE()),2),"")</f>
        <v>337.5</v>
      </c>
      <c r="J22" s="15" t="s">
        <v>51</v>
      </c>
    </row>
    <row r="23" customFormat="false" ht="15" hidden="false" customHeight="false" outlineLevel="0" collapsed="false">
      <c r="B23" s="14" t="n">
        <v>46308</v>
      </c>
      <c r="C23" s="15" t="s">
        <v>22</v>
      </c>
      <c r="D23" s="15" t="s">
        <v>49</v>
      </c>
      <c r="E23" s="16" t="n">
        <v>0.291666666666667</v>
      </c>
      <c r="F23" s="16" t="n">
        <v>0.666666666666667</v>
      </c>
      <c r="G23" s="15" t="n">
        <v>30</v>
      </c>
      <c r="H23" s="17" t="n">
        <f aca="false">IFERROR(ROUND((F23-E23)*24-IF(ISNUMBER(G23),G23,0)/60,2),"")</f>
        <v>8.5</v>
      </c>
      <c r="I23" s="18" t="n">
        <f aca="false">IF(ISNUMBER(H23),ROUND(H23*VLOOKUP(TRIM(C23),$L$5:$M$8,2,FALSE()),2),"")</f>
        <v>442</v>
      </c>
      <c r="J23" s="15" t="s">
        <v>52</v>
      </c>
    </row>
    <row r="24" customFormat="false" ht="15" hidden="false" customHeight="false" outlineLevel="0" collapsed="false">
      <c r="B24" s="14" t="n">
        <v>46309</v>
      </c>
      <c r="C24" s="15" t="s">
        <v>53</v>
      </c>
      <c r="D24" s="15" t="s">
        <v>49</v>
      </c>
      <c r="E24" s="16" t="n">
        <v>0.291666666666667</v>
      </c>
      <c r="F24" s="16" t="n">
        <v>0.666666666666667</v>
      </c>
      <c r="G24" s="15" t="n">
        <v>30</v>
      </c>
      <c r="H24" s="17" t="n">
        <f aca="false">IFERROR(ROUND((F24-E24)*24-IF(ISNUMBER(G24),G24,0)/60,2),"")</f>
        <v>8.5</v>
      </c>
      <c r="I24" s="18" t="n">
        <f aca="false">IF(ISNUMBER(H24),ROUND(H24*VLOOKUP(TRIM(C24),$L$5:$M$8,2,FALSE()),2),"")</f>
        <v>442</v>
      </c>
      <c r="J24" s="15" t="s">
        <v>52</v>
      </c>
    </row>
    <row r="25" customFormat="false" ht="15" hidden="false" customHeight="false" outlineLevel="0" collapsed="false">
      <c r="B25" s="14" t="n">
        <v>46310</v>
      </c>
      <c r="C25" s="15" t="s">
        <v>24</v>
      </c>
      <c r="D25" s="15" t="s">
        <v>25</v>
      </c>
      <c r="E25" s="16" t="n">
        <v>0.291666666666667</v>
      </c>
      <c r="F25" s="16" t="n">
        <v>0.5</v>
      </c>
      <c r="G25" s="15" t="n">
        <v>0</v>
      </c>
      <c r="H25" s="17" t="n">
        <f aca="false">IFERROR(ROUND((F25-E25)*24-IF(ISNUMBER(G25),G25,0)/60,2),"")</f>
        <v>5</v>
      </c>
      <c r="I25" s="18" t="n">
        <f aca="false">IF(ISNUMBER(H25),ROUND(H25*VLOOKUP(TRIM(C25),$L$5:$M$8,2,FALSE()),2),"")</f>
        <v>225</v>
      </c>
      <c r="J25" s="15" t="s">
        <v>54</v>
      </c>
    </row>
    <row r="26" customFormat="false" ht="15" hidden="false" customHeight="false" outlineLevel="0" collapsed="false">
      <c r="B26" s="14" t="n">
        <v>46311</v>
      </c>
      <c r="C26" s="15" t="s">
        <v>22</v>
      </c>
      <c r="D26" s="15" t="s">
        <v>49</v>
      </c>
      <c r="E26" s="16" t="n">
        <v>0.291666666666667</v>
      </c>
      <c r="F26" s="16" t="n">
        <v>0.583333333333333</v>
      </c>
      <c r="G26" s="15" t="n">
        <v>30</v>
      </c>
      <c r="H26" s="17" t="n">
        <f aca="false">IFERROR(ROUND((F26-E26)*24-IF(ISNUMBER(G26),G26,0)/60,2),"")</f>
        <v>6.5</v>
      </c>
      <c r="I26" s="18" t="n">
        <f aca="false">IF(ISNUMBER(H26),ROUND(H26*VLOOKUP(TRIM(C26),$L$5:$M$8,2,FALSE()),2),"")</f>
        <v>338</v>
      </c>
      <c r="J26" s="15" t="s">
        <v>55</v>
      </c>
    </row>
    <row r="27" customFormat="false" ht="15" hidden="false" customHeight="false" outlineLevel="0" collapsed="false">
      <c r="B27" s="19" t="s">
        <v>56</v>
      </c>
      <c r="C27" s="20"/>
      <c r="D27" s="20"/>
      <c r="E27" s="20"/>
      <c r="F27" s="20"/>
      <c r="G27" s="20"/>
      <c r="H27" s="21" t="n">
        <f aca="false">SUBTOTAL(9,H21:H26)</f>
        <v>47</v>
      </c>
      <c r="I27" s="22" t="n">
        <f aca="false">SUBTOTAL(9,I21:I26)</f>
        <v>2279.5</v>
      </c>
      <c r="J27" s="20"/>
    </row>
    <row r="28" customFormat="false" ht="15" hidden="false" customHeight="false" outlineLevel="0" collapsed="false">
      <c r="B28" s="13" t="s">
        <v>57</v>
      </c>
    </row>
    <row r="29" customFormat="false" ht="15" hidden="false" customHeight="false" outlineLevel="0" collapsed="false">
      <c r="B29" s="14" t="n">
        <v>46314</v>
      </c>
      <c r="C29" s="15" t="s">
        <v>22</v>
      </c>
      <c r="D29" s="15" t="s">
        <v>49</v>
      </c>
      <c r="E29" s="16" t="n">
        <v>0.291666666666667</v>
      </c>
      <c r="F29" s="16" t="n">
        <v>0.666666666666667</v>
      </c>
      <c r="G29" s="15" t="n">
        <v>30</v>
      </c>
      <c r="H29" s="17" t="n">
        <f aca="false">IFERROR(ROUND((F29-E29)*24-IF(ISNUMBER(G29),G29,0)/60,2),"")</f>
        <v>8.5</v>
      </c>
      <c r="I29" s="18" t="n">
        <f aca="false">IF(ISNUMBER(H29),ROUND(H29*VLOOKUP(TRIM(C29),$L$5:$M$8,2,FALSE()),2),"")</f>
        <v>442</v>
      </c>
      <c r="J29" s="15" t="s">
        <v>58</v>
      </c>
    </row>
    <row r="30" customFormat="false" ht="15" hidden="false" customHeight="false" outlineLevel="0" collapsed="false">
      <c r="B30" s="14" t="n">
        <v>46314</v>
      </c>
      <c r="C30" s="15" t="s">
        <v>24</v>
      </c>
      <c r="D30" s="15" t="s">
        <v>49</v>
      </c>
      <c r="E30" s="16" t="n">
        <v>0.291666666666667</v>
      </c>
      <c r="F30" s="16" t="n">
        <v>0.666666666666667</v>
      </c>
      <c r="G30" s="15" t="n">
        <v>30</v>
      </c>
      <c r="H30" s="17" t="n">
        <f aca="false">IFERROR(ROUND((F30-E30)*24-IF(ISNUMBER(G30),G30,0)/60,2),"")</f>
        <v>8.5</v>
      </c>
      <c r="I30" s="18" t="n">
        <f aca="false">IF(ISNUMBER(H30),ROUND(H30*VLOOKUP(TRIM(C30),$L$5:$M$8,2,FALSE()),2),"")</f>
        <v>382.5</v>
      </c>
      <c r="J30" s="15" t="s">
        <v>58</v>
      </c>
    </row>
    <row r="31" customFormat="false" ht="15" hidden="false" customHeight="false" outlineLevel="0" collapsed="false">
      <c r="B31" s="23" t="s">
        <v>59</v>
      </c>
      <c r="C31" s="23"/>
      <c r="D31" s="23"/>
      <c r="E31" s="23"/>
      <c r="F31" s="23"/>
      <c r="G31" s="23"/>
      <c r="H31" s="24" t="n">
        <f aca="false">SUBTOTAL(9,H6:H30)</f>
        <v>141.5</v>
      </c>
      <c r="I31" s="25" t="n">
        <f aca="false">SUBTOTAL(9,I6:I30)</f>
        <v>6700</v>
      </c>
      <c r="J31" s="23"/>
    </row>
    <row r="33" customFormat="false" ht="15" hidden="false" customHeight="false" outlineLevel="0" collapsed="false">
      <c r="B33" s="0" t="s">
        <v>60</v>
      </c>
      <c r="C33" s="26" t="n">
        <v>46314</v>
      </c>
    </row>
  </sheetData>
  <mergeCells count="6">
    <mergeCell ref="B4:B5"/>
    <mergeCell ref="C4:D4"/>
    <mergeCell ref="E4:G4"/>
    <mergeCell ref="H4:H5"/>
    <mergeCell ref="I4:I5"/>
    <mergeCell ref="J4:J5"/>
  </mergeCells>
  <conditionalFormatting sqref="H6:H30">
    <cfRule type="cellIs" priority="2" operator="greaterThan" aboveAverage="0" equalAverage="0" bottom="0" percent="0" rank="0" text="" dxfId="0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61</v>
      </c>
      <c r="B1" s="0" t="s">
        <v>62</v>
      </c>
      <c r="C1" s="0" t="s">
        <v>63</v>
      </c>
      <c r="D1" s="0" t="s">
        <v>64</v>
      </c>
    </row>
    <row r="2" customFormat="false" ht="15" hidden="false" customHeight="false" outlineLevel="0" collapsed="false">
      <c r="A2" s="0" t="n">
        <v>101</v>
      </c>
      <c r="B2" s="0" t="s">
        <v>65</v>
      </c>
      <c r="C2" s="0" t="n">
        <v>14</v>
      </c>
      <c r="D2" s="0" t="s">
        <v>66</v>
      </c>
    </row>
    <row r="3" customFormat="false" ht="15" hidden="false" customHeight="false" outlineLevel="0" collapsed="false">
      <c r="A3" s="0" t="n">
        <v>102</v>
      </c>
      <c r="B3" s="0" t="s">
        <v>67</v>
      </c>
      <c r="C3" s="0" t="n">
        <v>30</v>
      </c>
      <c r="D3" s="0" t="s">
        <v>68</v>
      </c>
    </row>
    <row r="4" customFormat="false" ht="15" hidden="false" customHeight="false" outlineLevel="0" collapsed="false">
      <c r="A4" s="0" t="n">
        <v>103</v>
      </c>
      <c r="B4" s="0" t="s">
        <v>36</v>
      </c>
      <c r="C4" s="0" t="n">
        <v>10</v>
      </c>
      <c r="D4" s="0" t="s">
        <v>69</v>
      </c>
    </row>
    <row r="5" customFormat="false" ht="15" hidden="false" customHeight="false" outlineLevel="0" collapsed="false">
      <c r="A5" s="0" t="n">
        <v>104</v>
      </c>
      <c r="B5" s="0" t="s">
        <v>70</v>
      </c>
      <c r="C5" s="0" t="n">
        <v>30</v>
      </c>
      <c r="D5" s="0" t="s">
        <v>71</v>
      </c>
    </row>
    <row r="6" customFormat="false" ht="15" hidden="false" customHeight="false" outlineLevel="0" collapsed="false">
      <c r="A6" s="0" t="n">
        <v>105</v>
      </c>
      <c r="B6" s="0" t="s">
        <v>72</v>
      </c>
      <c r="C6" s="0" t="n">
        <v>14</v>
      </c>
      <c r="D6" s="0" t="s">
        <v>73</v>
      </c>
    </row>
    <row r="7" customFormat="false" ht="15" hidden="false" customHeight="false" outlineLevel="0" collapsed="false">
      <c r="A7" s="0" t="n">
        <v>106</v>
      </c>
      <c r="B7" s="0" t="s">
        <v>74</v>
      </c>
      <c r="C7" s="0" t="n">
        <v>21</v>
      </c>
      <c r="D7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10" min="8" style="0" width="12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7" t="s">
        <v>76</v>
      </c>
    </row>
    <row r="3" customFormat="false" ht="28.35" hidden="false" customHeight="false" outlineLevel="0" collapsed="false">
      <c r="A3" s="27" t="s">
        <v>77</v>
      </c>
      <c r="B3" s="27" t="s">
        <v>61</v>
      </c>
      <c r="C3" s="27" t="s">
        <v>78</v>
      </c>
      <c r="D3" s="27" t="s">
        <v>18</v>
      </c>
      <c r="E3" s="27" t="s">
        <v>79</v>
      </c>
      <c r="F3" s="27" t="s">
        <v>80</v>
      </c>
      <c r="G3" s="27" t="s">
        <v>81</v>
      </c>
      <c r="H3" s="27" t="s">
        <v>82</v>
      </c>
      <c r="I3" s="27" t="s">
        <v>83</v>
      </c>
      <c r="J3" s="27" t="s">
        <v>84</v>
      </c>
      <c r="K3" s="27" t="s">
        <v>85</v>
      </c>
      <c r="L3" s="27" t="s">
        <v>86</v>
      </c>
    </row>
    <row r="4" customFormat="false" ht="15" hidden="false" customHeight="false" outlineLevel="0" collapsed="false">
      <c r="A4" s="15" t="s">
        <v>87</v>
      </c>
      <c r="B4" s="15" t="n">
        <v>105</v>
      </c>
      <c r="C4" s="15" t="str">
        <f aca="false">IFERROR(VLOOKUP(B4,Kunden!$A:$D,2,FALSE()),"??? unbekannt")</f>
        <v>Schneider, Anna</v>
      </c>
      <c r="D4" s="15" t="s">
        <v>25</v>
      </c>
      <c r="E4" s="18" t="n">
        <v>6420</v>
      </c>
      <c r="F4" s="28" t="n">
        <v>0.19</v>
      </c>
      <c r="G4" s="18" t="n">
        <f aca="false">IFERROR(E4*F4,0)</f>
        <v>1219.8</v>
      </c>
      <c r="H4" s="18" t="n">
        <f aca="false">IFERROR(E4+G4,E4)</f>
        <v>7639.8</v>
      </c>
      <c r="I4" s="14" t="n">
        <v>46275</v>
      </c>
      <c r="J4" s="14" t="n">
        <f aca="false">IF(I4="","",I4+IFERROR(VLOOKUP(B4,Kunden!$A:$C,3,FALSE()),14))</f>
        <v>46289</v>
      </c>
      <c r="K4" s="15" t="s">
        <v>88</v>
      </c>
      <c r="L4" s="14" t="n">
        <v>46287</v>
      </c>
    </row>
    <row r="5" customFormat="false" ht="15" hidden="false" customHeight="false" outlineLevel="0" collapsed="false">
      <c r="A5" s="15" t="s">
        <v>89</v>
      </c>
      <c r="B5" s="15" t="n">
        <v>101</v>
      </c>
      <c r="C5" s="15" t="str">
        <f aca="false">IFERROR(VLOOKUP(B5,Kunden!$A:$D,2,FALSE()),"??? unbekannt")</f>
        <v>Becker, Thomas</v>
      </c>
      <c r="D5" s="15" t="s">
        <v>90</v>
      </c>
      <c r="E5" s="18" t="n">
        <v>2380</v>
      </c>
      <c r="F5" s="28" t="n">
        <v>0.19</v>
      </c>
      <c r="G5" s="18" t="n">
        <f aca="false">IFERROR(E5*F5,0)</f>
        <v>452.2</v>
      </c>
      <c r="H5" s="18" t="n">
        <f aca="false">IFERROR(E5+G5,E5)</f>
        <v>2832.2</v>
      </c>
      <c r="I5" s="14" t="n">
        <v>46290</v>
      </c>
      <c r="J5" s="14" t="n">
        <f aca="false">IF(I5="","",I5+IFERROR(VLOOKUP(B5,Kunden!$A:$C,3,FALSE()),14))</f>
        <v>46304</v>
      </c>
      <c r="K5" s="15" t="s">
        <v>91</v>
      </c>
      <c r="L5" s="15"/>
    </row>
    <row r="6" customFormat="false" ht="15" hidden="false" customHeight="false" outlineLevel="0" collapsed="false">
      <c r="A6" s="15" t="s">
        <v>92</v>
      </c>
      <c r="B6" s="15" t="n">
        <v>103</v>
      </c>
      <c r="C6" s="15" t="str">
        <f aca="false">IFERROR(VLOOKUP(B6,Kunden!$A:$D,2,FALSE()),"??? unbekannt")</f>
        <v>Praxis Dr. Hahn</v>
      </c>
      <c r="D6" s="15" t="s">
        <v>36</v>
      </c>
      <c r="E6" s="18" t="n">
        <v>9850</v>
      </c>
      <c r="F6" s="28" t="n">
        <v>0.19</v>
      </c>
      <c r="G6" s="18" t="n">
        <f aca="false">IFERROR(E6*F6,0)</f>
        <v>1871.5</v>
      </c>
      <c r="H6" s="18" t="n">
        <f aca="false">IFERROR(E6+G6,E6)</f>
        <v>11721.5</v>
      </c>
      <c r="I6" s="14" t="n">
        <v>46297</v>
      </c>
      <c r="J6" s="14" t="n">
        <f aca="false">IF(I6="","",I6+IFERROR(VLOOKUP(B6,Kunden!$A:$C,3,FALSE()),14))</f>
        <v>46307</v>
      </c>
      <c r="K6" s="15" t="s">
        <v>91</v>
      </c>
      <c r="L6" s="15"/>
    </row>
    <row r="7" customFormat="false" ht="15" hidden="false" customHeight="false" outlineLevel="0" collapsed="false">
      <c r="A7" s="15" t="s">
        <v>93</v>
      </c>
      <c r="B7" s="15" t="n">
        <v>102</v>
      </c>
      <c r="C7" s="15" t="str">
        <f aca="false">IFERROR(VLOOKUP(B7,Kunden!$A:$D,2,FALSE()),"??? unbekannt")</f>
        <v>Yılmaz GbR</v>
      </c>
      <c r="D7" s="15" t="s">
        <v>39</v>
      </c>
      <c r="E7" s="18" t="n">
        <v>3120</v>
      </c>
      <c r="F7" s="28" t="n">
        <v>0.19</v>
      </c>
      <c r="G7" s="18" t="n">
        <f aca="false">IFERROR(E7*F7,0)</f>
        <v>592.8</v>
      </c>
      <c r="H7" s="18" t="n">
        <f aca="false">IFERROR(E7+G7,E7)</f>
        <v>3712.8</v>
      </c>
      <c r="I7" s="14" t="n">
        <v>46304</v>
      </c>
      <c r="J7" s="14" t="n">
        <f aca="false">IF(I7="","",I7+IFERROR(VLOOKUP(B7,Kunden!$A:$C,3,FALSE()),14))</f>
        <v>46334</v>
      </c>
      <c r="K7" s="15" t="s">
        <v>94</v>
      </c>
      <c r="L7" s="15"/>
    </row>
    <row r="8" customFormat="false" ht="15" hidden="false" customHeight="false" outlineLevel="0" collapsed="false">
      <c r="A8" s="15" t="s">
        <v>93</v>
      </c>
      <c r="B8" s="15" t="n">
        <v>106</v>
      </c>
      <c r="C8" s="15" t="str">
        <f aca="false">IFERROR(VLOOKUP(B8,Kunden!$A:$D,2,FALSE()),"??? unbekannt")</f>
        <v>Hausverwaltung Lindner</v>
      </c>
      <c r="D8" s="15" t="s">
        <v>95</v>
      </c>
      <c r="E8" s="18" t="s">
        <v>96</v>
      </c>
      <c r="F8" s="28" t="n">
        <v>0.19</v>
      </c>
      <c r="G8" s="18" t="n">
        <f aca="false">IFERROR(E8*F8,0)</f>
        <v>0</v>
      </c>
      <c r="H8" s="18" t="str">
        <f aca="false">IFERROR(E8+G8,E8)</f>
        <v>4.250,00</v>
      </c>
      <c r="I8" s="14" t="n">
        <v>46307</v>
      </c>
      <c r="J8" s="14" t="n">
        <f aca="false">IF(I8="","",I8+IFERROR(VLOOKUP(B8,Kunden!$A:$C,3,FALSE()),14))</f>
        <v>46328</v>
      </c>
      <c r="K8" s="15" t="s">
        <v>91</v>
      </c>
      <c r="L8" s="15"/>
    </row>
    <row r="9" customFormat="false" ht="15" hidden="false" customHeight="false" outlineLevel="0" collapsed="false">
      <c r="A9" s="15" t="s">
        <v>97</v>
      </c>
      <c r="B9" s="15" t="n">
        <v>104</v>
      </c>
      <c r="C9" s="15" t="str">
        <f aca="false">IFERROR(VLOOKUP(B9,Kunden!$A:$D,2,FALSE()),"??? unbekannt")</f>
        <v>Weber Bau GmbH</v>
      </c>
      <c r="D9" s="15" t="s">
        <v>98</v>
      </c>
      <c r="E9" s="18" t="n">
        <v>15000</v>
      </c>
      <c r="F9" s="28" t="n">
        <v>19</v>
      </c>
      <c r="G9" s="18" t="n">
        <f aca="false">IFERROR(E9*F9,0)</f>
        <v>285000</v>
      </c>
      <c r="H9" s="18" t="n">
        <f aca="false">IFERROR(E9+G9,E9)</f>
        <v>300000</v>
      </c>
      <c r="I9" s="14" t="n">
        <v>46309</v>
      </c>
      <c r="J9" s="14" t="n">
        <f aca="false">IF(I9="","",I9+IFERROR(VLOOKUP(B9,Kunden!$A:$C,3,FALSE()),14))</f>
        <v>46339</v>
      </c>
      <c r="K9" s="15" t="s">
        <v>91</v>
      </c>
      <c r="L9" s="15"/>
    </row>
    <row r="10" customFormat="false" ht="15" hidden="false" customHeight="false" outlineLevel="0" collapsed="false">
      <c r="A10" s="15" t="s">
        <v>99</v>
      </c>
      <c r="B10" s="15" t="n">
        <v>107</v>
      </c>
      <c r="C10" s="15" t="str">
        <f aca="false">IFERROR(VLOOKUP(B10,Kunden!$A:$D,2,FALSE()),"??? unbekannt")</f>
        <v>??? unbekannt</v>
      </c>
      <c r="D10" s="15" t="s">
        <v>100</v>
      </c>
      <c r="E10" s="18" t="n">
        <v>1890</v>
      </c>
      <c r="F10" s="28" t="n">
        <v>0.07</v>
      </c>
      <c r="G10" s="18" t="n">
        <f aca="false">IFERROR(E10*F10,0)</f>
        <v>132.3</v>
      </c>
      <c r="H10" s="18" t="n">
        <f aca="false">IFERROR(E10+G10,E10)</f>
        <v>2022.3</v>
      </c>
      <c r="I10" s="14" t="n">
        <v>46310</v>
      </c>
      <c r="J10" s="14" t="n">
        <f aca="false">IF(I10="","",I10+IFERROR(VLOOKUP(B10,Kunden!$A:$C,3,FALSE()),14))</f>
        <v>46324</v>
      </c>
      <c r="K10" s="15" t="s">
        <v>91</v>
      </c>
      <c r="L10" s="15"/>
    </row>
    <row r="11" customFormat="false" ht="15" hidden="false" customHeight="false" outlineLevel="0" collapsed="false">
      <c r="A11" s="15" t="s">
        <v>101</v>
      </c>
      <c r="B11" s="15" t="n">
        <v>104</v>
      </c>
      <c r="C11" s="15" t="str">
        <f aca="false">IFERROR(VLOOKUP(B11,Kunden!$A:$D,2,FALSE()),"??? unbekannt")</f>
        <v>Weber Bau GmbH</v>
      </c>
      <c r="D11" s="15" t="s">
        <v>102</v>
      </c>
      <c r="E11" s="18" t="n">
        <v>12000</v>
      </c>
      <c r="F11" s="28" t="n">
        <v>0.19</v>
      </c>
      <c r="G11" s="18" t="n">
        <f aca="false">IFERROR(E11*F11,0)</f>
        <v>2280</v>
      </c>
      <c r="H11" s="18" t="n">
        <f aca="false">IFERROR(E11+G11,E11)</f>
        <v>14280</v>
      </c>
      <c r="I11" s="15"/>
      <c r="J11" s="14" t="str">
        <f aca="false">IF(I11="","",I11+IFERROR(VLOOKUP(B11,Kunden!$A:$C,3,FALSE()),14))</f>
        <v/>
      </c>
      <c r="K11" s="15" t="s">
        <v>103</v>
      </c>
      <c r="L11" s="15"/>
    </row>
    <row r="13" customFormat="false" ht="15" hidden="false" customHeight="false" outlineLevel="0" collapsed="false">
      <c r="D13" s="3" t="s">
        <v>104</v>
      </c>
      <c r="E13" s="29" t="n">
        <f aca="false">SUM(E4:E11)</f>
        <v>50660</v>
      </c>
      <c r="G13" s="29" t="n">
        <f aca="false">SUM(G4:G11)</f>
        <v>291548.6</v>
      </c>
      <c r="H13" s="29" t="n">
        <f aca="false">SUM(H4:H11)</f>
        <v>342208.6</v>
      </c>
    </row>
    <row r="14" customFormat="false" ht="15" hidden="false" customHeight="false" outlineLevel="0" collapsed="false">
      <c r="D14" s="3" t="s">
        <v>105</v>
      </c>
      <c r="H14" s="29" t="n">
        <f aca="false">SUMIF(K4:K11,"offen",H4:H11)</f>
        <v>316576</v>
      </c>
    </row>
  </sheetData>
  <dataValidations count="1">
    <dataValidation allowBlank="false" errorStyle="stop" operator="between" showDropDown="false" showErrorMessage="false" showInputMessage="false" sqref="K4:K60" type="list">
      <formula1>"Angebot,offen,Teilzahlung,bezahlt,Mahnung"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7" t="s">
        <v>106</v>
      </c>
      <c r="F1" s="11" t="s">
        <v>107</v>
      </c>
    </row>
    <row r="3" customFormat="false" ht="15" hidden="false" customHeight="false" outlineLevel="0" collapsed="false">
      <c r="A3" s="30" t="s">
        <v>108</v>
      </c>
      <c r="B3" s="30" t="s">
        <v>109</v>
      </c>
      <c r="C3" s="30" t="s">
        <v>110</v>
      </c>
      <c r="D3" s="30" t="s">
        <v>111</v>
      </c>
      <c r="E3" s="30" t="s">
        <v>112</v>
      </c>
      <c r="F3" s="30" t="s">
        <v>113</v>
      </c>
      <c r="G3" s="30" t="s">
        <v>114</v>
      </c>
      <c r="H3" s="30" t="s">
        <v>115</v>
      </c>
      <c r="I3" s="30" t="s">
        <v>116</v>
      </c>
    </row>
    <row r="4" customFormat="false" ht="15" hidden="false" customHeight="false" outlineLevel="0" collapsed="false">
      <c r="A4" s="15" t="s">
        <v>117</v>
      </c>
      <c r="B4" s="15" t="s">
        <v>118</v>
      </c>
      <c r="C4" s="15" t="n">
        <v>14</v>
      </c>
      <c r="D4" s="15" t="s">
        <v>119</v>
      </c>
      <c r="E4" s="15" t="n">
        <v>10</v>
      </c>
      <c r="F4" s="18" t="n">
        <v>14.9</v>
      </c>
      <c r="G4" s="18" t="n">
        <f aca="false">IFERROR(C4*F4,"")</f>
        <v>208.6</v>
      </c>
      <c r="H4" s="31" t="str">
        <f aca="false">IF(AND(ISNUMBER(C4),C4&lt;E4),"JA","")</f>
        <v/>
      </c>
      <c r="I4" s="15" t="s">
        <v>120</v>
      </c>
    </row>
    <row r="5" customFormat="false" ht="15" hidden="false" customHeight="false" outlineLevel="0" collapsed="false">
      <c r="A5" s="15" t="s">
        <v>121</v>
      </c>
      <c r="B5" s="15" t="s">
        <v>122</v>
      </c>
      <c r="C5" s="15" t="n">
        <v>4</v>
      </c>
      <c r="D5" s="15" t="s">
        <v>119</v>
      </c>
      <c r="E5" s="15" t="n">
        <v>8</v>
      </c>
      <c r="F5" s="18" t="n">
        <v>17.5</v>
      </c>
      <c r="G5" s="18" t="n">
        <f aca="false">IFERROR(C5*F5,"")</f>
        <v>70</v>
      </c>
      <c r="H5" s="31" t="str">
        <f aca="false">IF(AND(ISNUMBER(C5),C5&lt;E5),"JA","")</f>
        <v>JA</v>
      </c>
      <c r="I5" s="15" t="s">
        <v>120</v>
      </c>
    </row>
    <row r="6" customFormat="false" ht="15" hidden="false" customHeight="false" outlineLevel="0" collapsed="false">
      <c r="A6" s="15" t="s">
        <v>123</v>
      </c>
      <c r="B6" s="15" t="s">
        <v>124</v>
      </c>
      <c r="C6" s="15" t="s">
        <v>125</v>
      </c>
      <c r="D6" s="15" t="s">
        <v>126</v>
      </c>
      <c r="E6" s="15" t="n">
        <v>6</v>
      </c>
      <c r="F6" s="18" t="n">
        <v>11.4</v>
      </c>
      <c r="G6" s="18" t="n">
        <f aca="false">IFERROR(C6*F6,"")</f>
        <v>102.6</v>
      </c>
      <c r="H6" s="31" t="str">
        <f aca="false">IF(AND(ISNUMBER(C6),C6&lt;E6),"JA","")</f>
        <v/>
      </c>
      <c r="I6" s="15" t="s">
        <v>127</v>
      </c>
    </row>
    <row r="7" customFormat="false" ht="15" hidden="false" customHeight="false" outlineLevel="0" collapsed="false">
      <c r="A7" s="15" t="s">
        <v>128</v>
      </c>
      <c r="B7" s="15" t="s">
        <v>129</v>
      </c>
      <c r="C7" s="15" t="n">
        <v>2</v>
      </c>
      <c r="D7" s="15" t="s">
        <v>126</v>
      </c>
      <c r="E7" s="15" t="n">
        <v>4</v>
      </c>
      <c r="F7" s="18" t="n">
        <v>12.3</v>
      </c>
      <c r="G7" s="18" t="n">
        <f aca="false">IFERROR(C7*F7,"")</f>
        <v>24.6</v>
      </c>
      <c r="H7" s="31" t="str">
        <f aca="false">IF(AND(ISNUMBER(C7),C7&lt;E7),"JA","")</f>
        <v>JA</v>
      </c>
      <c r="I7" s="15" t="s">
        <v>127</v>
      </c>
    </row>
    <row r="8" customFormat="false" ht="15" hidden="false" customHeight="false" outlineLevel="0" collapsed="false">
      <c r="A8" s="15" t="s">
        <v>130</v>
      </c>
      <c r="B8" s="15" t="s">
        <v>131</v>
      </c>
      <c r="C8" s="15" t="n">
        <v>18</v>
      </c>
      <c r="D8" s="15" t="s">
        <v>132</v>
      </c>
      <c r="E8" s="15" t="n">
        <v>12</v>
      </c>
      <c r="F8" s="18" t="n">
        <v>6.2</v>
      </c>
      <c r="G8" s="18" t="n">
        <f aca="false">IFERROR(C8*F8,"")</f>
        <v>111.6</v>
      </c>
      <c r="H8" s="31" t="str">
        <f aca="false">IF(AND(ISNUMBER(C8),C8&lt;E8),"JA","")</f>
        <v/>
      </c>
      <c r="I8" s="15" t="s">
        <v>120</v>
      </c>
    </row>
    <row r="9" customFormat="false" ht="15" hidden="false" customHeight="false" outlineLevel="0" collapsed="false">
      <c r="A9" s="15" t="s">
        <v>133</v>
      </c>
      <c r="B9" s="15" t="s">
        <v>134</v>
      </c>
      <c r="C9" s="15" t="n">
        <v>5</v>
      </c>
      <c r="D9" s="15" t="s">
        <v>132</v>
      </c>
      <c r="E9" s="15" t="n">
        <v>12</v>
      </c>
      <c r="F9" s="18" t="s">
        <v>135</v>
      </c>
      <c r="G9" s="18" t="str">
        <f aca="false">IFERROR(C9*F9,"")</f>
        <v/>
      </c>
      <c r="H9" s="31" t="str">
        <f aca="false">IF(AND(ISNUMBER(C9),C9&lt;E9),"JA","")</f>
        <v>JA</v>
      </c>
      <c r="I9" s="15" t="s">
        <v>120</v>
      </c>
    </row>
    <row r="10" customFormat="false" ht="15" hidden="false" customHeight="false" outlineLevel="0" collapsed="false">
      <c r="A10" s="15" t="s">
        <v>136</v>
      </c>
      <c r="B10" s="15" t="s">
        <v>137</v>
      </c>
      <c r="C10" s="15" t="n">
        <v>3</v>
      </c>
      <c r="D10" s="15" t="s">
        <v>126</v>
      </c>
      <c r="E10" s="15" t="n">
        <v>2</v>
      </c>
      <c r="F10" s="18" t="n">
        <v>64</v>
      </c>
      <c r="G10" s="18" t="n">
        <f aca="false">IFERROR(C10*F10,"")</f>
        <v>192</v>
      </c>
      <c r="H10" s="31" t="str">
        <f aca="false">IF(AND(ISNUMBER(C10),C10&lt;E10),"JA","")</f>
        <v/>
      </c>
      <c r="I10" s="15" t="s">
        <v>120</v>
      </c>
    </row>
    <row r="11" customFormat="false" ht="15" hidden="false" customHeight="false" outlineLevel="0" collapsed="false">
      <c r="A11" s="15" t="s">
        <v>138</v>
      </c>
      <c r="B11" s="15" t="s">
        <v>139</v>
      </c>
      <c r="C11" s="15" t="n">
        <v>7</v>
      </c>
      <c r="D11" s="15" t="s">
        <v>140</v>
      </c>
      <c r="E11" s="15" t="n">
        <v>5</v>
      </c>
      <c r="F11" s="18" t="n">
        <v>18.9</v>
      </c>
      <c r="G11" s="18" t="n">
        <f aca="false">IFERROR(C11*F11,"")</f>
        <v>132.3</v>
      </c>
      <c r="H11" s="31" t="str">
        <f aca="false">IF(AND(ISNUMBER(C11),C11&lt;E11),"JA","")</f>
        <v/>
      </c>
      <c r="I11" s="15" t="s">
        <v>120</v>
      </c>
    </row>
    <row r="12" customFormat="false" ht="15" hidden="false" customHeight="false" outlineLevel="0" collapsed="false">
      <c r="A12" s="15" t="s">
        <v>141</v>
      </c>
      <c r="B12" s="15" t="s">
        <v>142</v>
      </c>
      <c r="C12" s="15" t="n">
        <v>1</v>
      </c>
      <c r="D12" s="15" t="s">
        <v>143</v>
      </c>
      <c r="E12" s="15" t="n">
        <v>3</v>
      </c>
      <c r="F12" s="18" t="n">
        <v>29.5</v>
      </c>
      <c r="G12" s="18" t="n">
        <f aca="false">IFERROR(C12*F12,"")</f>
        <v>29.5</v>
      </c>
      <c r="H12" s="31" t="str">
        <f aca="false">IF(AND(ISNUMBER(C12),C12&lt;E12),"JA","")</f>
        <v>JA</v>
      </c>
      <c r="I12" s="15" t="s">
        <v>120</v>
      </c>
    </row>
    <row r="13" customFormat="false" ht="15" hidden="false" customHeight="false" outlineLevel="0" collapsed="false">
      <c r="A13" s="15" t="s">
        <v>144</v>
      </c>
      <c r="B13" s="15" t="s">
        <v>145</v>
      </c>
      <c r="C13" s="15" t="n">
        <v>22</v>
      </c>
      <c r="D13" s="15" t="s">
        <v>146</v>
      </c>
      <c r="E13" s="15" t="n">
        <v>10</v>
      </c>
      <c r="F13" s="18" t="n">
        <v>9.8</v>
      </c>
      <c r="G13" s="18" t="n">
        <f aca="false">IFERROR(C13*F13,"")</f>
        <v>215.6</v>
      </c>
      <c r="H13" s="31" t="str">
        <f aca="false">IF(AND(ISNUMBER(C13),C13&lt;E13),"JA","")</f>
        <v/>
      </c>
      <c r="I13" s="15" t="s">
        <v>127</v>
      </c>
    </row>
    <row r="14" customFormat="false" ht="15" hidden="false" customHeight="false" outlineLevel="0" collapsed="false">
      <c r="A14" s="15" t="s">
        <v>147</v>
      </c>
      <c r="B14" s="15" t="s">
        <v>148</v>
      </c>
      <c r="C14" s="15" t="s">
        <v>149</v>
      </c>
      <c r="D14" s="15" t="s">
        <v>150</v>
      </c>
      <c r="E14" s="15" t="n">
        <v>0</v>
      </c>
      <c r="F14" s="18" t="n">
        <v>32.9</v>
      </c>
      <c r="G14" s="18" t="str">
        <f aca="false">IFERROR(C14*F14,"")</f>
        <v/>
      </c>
      <c r="H14" s="31" t="str">
        <f aca="false">IF(AND(ISNUMBER(C14),C14&lt;E14),"JA","")</f>
        <v/>
      </c>
      <c r="I14" s="15" t="s">
        <v>127</v>
      </c>
    </row>
    <row r="15" customFormat="false" ht="15" hidden="false" customHeight="false" outlineLevel="0" collapsed="false">
      <c r="A15" s="15" t="s">
        <v>151</v>
      </c>
      <c r="B15" s="15" t="s">
        <v>152</v>
      </c>
      <c r="C15" s="15" t="s">
        <v>153</v>
      </c>
      <c r="D15" s="15" t="s">
        <v>150</v>
      </c>
      <c r="E15" s="15" t="n">
        <v>0</v>
      </c>
      <c r="F15" s="18" t="n">
        <v>24.5</v>
      </c>
      <c r="G15" s="18" t="str">
        <f aca="false">IFERROR(C15*F15,"")</f>
        <v/>
      </c>
      <c r="H15" s="31" t="str">
        <f aca="false">IF(AND(ISNUMBER(C15),C15&lt;E15),"JA","")</f>
        <v/>
      </c>
      <c r="I15" s="15" t="s">
        <v>127</v>
      </c>
    </row>
    <row r="16" customFormat="false" ht="15" hidden="false" customHeight="false" outlineLevel="0" collapsed="false">
      <c r="A16" s="15" t="s">
        <v>154</v>
      </c>
      <c r="B16" s="15" t="s">
        <v>155</v>
      </c>
      <c r="C16" s="15" t="n">
        <v>9</v>
      </c>
      <c r="D16" s="15" t="s">
        <v>156</v>
      </c>
      <c r="E16" s="15" t="n">
        <v>3</v>
      </c>
      <c r="F16" s="18" t="n">
        <v>3.9</v>
      </c>
      <c r="G16" s="18" t="n">
        <f aca="false">IFERROR(C16*F16,"")</f>
        <v>35.1</v>
      </c>
      <c r="H16" s="31" t="str">
        <f aca="false">IF(AND(ISNUMBER(C16),C16&lt;E16),"JA","")</f>
        <v/>
      </c>
      <c r="I16" s="15" t="s">
        <v>120</v>
      </c>
    </row>
    <row r="17" customFormat="false" ht="15" hidden="false" customHeight="false" outlineLevel="0" collapsed="false">
      <c r="A17" s="15" t="s">
        <v>157</v>
      </c>
      <c r="B17" s="15" t="s">
        <v>158</v>
      </c>
      <c r="C17" s="15" t="n">
        <v>2</v>
      </c>
      <c r="D17" s="15" t="s">
        <v>140</v>
      </c>
      <c r="E17" s="15" t="n">
        <v>1</v>
      </c>
      <c r="F17" s="18" t="n">
        <v>189</v>
      </c>
      <c r="G17" s="18" t="n">
        <f aca="false">IFERROR(C17*F17,"")</f>
        <v>378</v>
      </c>
      <c r="H17" s="31" t="str">
        <f aca="false">IF(AND(ISNUMBER(C17),C17&lt;E17),"JA","")</f>
        <v/>
      </c>
      <c r="I17" s="15" t="s">
        <v>127</v>
      </c>
    </row>
    <row r="19" customFormat="false" ht="15" hidden="false" customHeight="false" outlineLevel="0" collapsed="false">
      <c r="B19" s="3" t="s">
        <v>159</v>
      </c>
      <c r="G19" s="29" t="n">
        <f aca="false">SUM(G4:G17)</f>
        <v>1499.9</v>
      </c>
    </row>
  </sheetData>
  <conditionalFormatting sqref="H4:H17">
    <cfRule type="cellIs" priority="2" operator="equal" aboveAverage="0" equalAverage="0" bottom="0" percent="0" rank="0" text="" dxfId="1">
      <formula>"JA"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2026-10-20T01:19:06Z</dcterms:created>
  <dc:creator>openpyxl</dc:creator>
  <dc:description/>
  <dc:language>en-US</dc:language>
  <cp:lastModifiedBy/>
  <dcterms:modified xsi:type="dcterms:W3CDTF">2026-10-20T01:19:06Z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