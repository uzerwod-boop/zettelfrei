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ingangsrechnung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<sst xmlns="http://schemas.openxmlformats.org/spreadsheetml/2006/main" count="22" uniqueCount="19">
  <si>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Rechnung am</t>
  </si>
  <si>
    <t xml:space="preserve">Lieferant</t>
  </si>
  <si>
    <t xml:space="preserve">Rechnungs-Nr</t>
  </si>
  <si>
    <t xml:space="preserve">Netto €</t>
  </si>
  <si>
    <t xml:space="preserve">MwSt-Satz</t>
  </si>
  <si>
    <t xml:space="preserve">MwSt €</t>
  </si>
  <si>
    <t xml:space="preserve">Brutto €</t>
  </si>
  <si>
    <t xml:space="preserve">Fällig am</t>
  </si>
  <si>
    <t xml:space="preserve">Bezahlt am</t>
  </si>
  <si>
    <t xml:space="preserve">Projekt</t>
  </si>
  <si>
    <t xml:space="preserve">Baustoff Kaiser GmbH</t>
  </si>
  <si>
    <t xml:space="preserve">RE-2026-4398</t>
  </si>
  <si>
    <t xml:space="preserve">Bad Schneider</t>
  </si>
  <si>
    <t xml:space="preserve">Fliesen-Großhandel Weber KG</t>
  </si>
  <si>
    <t xml:space="preserve">87911</t>
  </si>
  <si>
    <t xml:space="preserve">RE-2026-4471</t>
  </si>
  <si>
    <t xml:space="preserve">Werkzeug Lehmann</t>
  </si>
  <si>
    <t xml:space="preserve">WL-2209</t>
  </si>
  <si>
    <t xml:space="preserve">Summe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</si>
</sst>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€&quot;"/>
    <numFmt numFmtId="167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46283</v>
      </c>
      <c r="B2" s="3" t="s">
        <v>10</v>
      </c>
      <c r="C2" s="3" t="s">
        <v>11</v>
      </c>
      <c r="D2" s="4" t="n">
        <v>412.6</v>
      </c>
      <c r="E2" s="5" t="n">
        <v>0.19</v>
      </c>
      <c r="F2" s="4" t="n">
        <f aca="false">ROUND(D2*E2,2)</f>
        <v>78.39</v>
      </c>
      <c r="G2" s="4" t="n">
        <f aca="false">D2+F2</f>
        <v>490.99</v>
      </c>
      <c r="H2" s="2" t="n">
        <v>46297</v>
      </c>
      <c r="I2" s="2" t="n">
        <v>46295</v>
      </c>
      <c r="J2" s="3" t="s">
        <v>12</v>
      </c>
    </row>
    <row r="3" customFormat="false" ht="15" hidden="false" customHeight="false" outlineLevel="0" collapsed="false">
      <c r="A3" s="2" t="n">
        <v>46296</v>
      </c>
      <c r="B3" s="3" t="s">
        <v>13</v>
      </c>
      <c r="C3" s="3" t="s">
        <v>14</v>
      </c>
      <c r="D3" s="4" t="n">
        <v>1960</v>
      </c>
      <c r="E3" s="5" t="n">
        <v>0.19</v>
      </c>
      <c r="F3" s="4" t="n">
        <f aca="false">ROUND(D3*E3,2)</f>
        <v>372.4</v>
      </c>
      <c r="G3" s="4" t="n">
        <f aca="false">D3+F3</f>
        <v>2332.4</v>
      </c>
      <c r="H3" s="2" t="n">
        <v>46310</v>
      </c>
      <c r="J3" s="3" t="s">
        <v>12</v>
      </c>
    </row>
    <row r="4" customFormat="false" ht="15" hidden="false" customHeight="false" outlineLevel="0" collapsed="false">
      <c r="A4" s="2" t="n">
        <v>46308</v>
      </c>
      <c r="B4" s="3" t="s">
        <v>10</v>
      </c>
      <c r="C4" s="3" t="s">
        <v>15</v>
      </c>
      <c r="D4" s="4" t="n">
        <v>311.2</v>
      </c>
      <c r="E4" s="5" t="n">
        <v>0.19</v>
      </c>
      <c r="F4" s="4" t="n">
        <f aca="false">ROUND(D4*E4,2)</f>
        <v>59.13</v>
      </c>
      <c r="G4" s="4" t="n">
        <f aca="false">D4+F4</f>
        <v>370.33</v>
      </c>
      <c r="H4" s="2" t="n">
        <v>46322</v>
      </c>
      <c r="J4" s="3" t="s">
        <v>12</v>
      </c>
    </row>
    <row r="5" customFormat="false" ht="15" hidden="false" customHeight="false" outlineLevel="0" collapsed="false">
      <c r="A5" s="2" t="n">
        <v>46309</v>
      </c>
      <c r="B5" s="3" t="s">
        <v>16</v>
      </c>
      <c r="C5" s="3" t="s">
        <v>17</v>
      </c>
      <c r="D5" s="4" t="n">
        <v>189</v>
      </c>
      <c r="E5" s="5" t="n">
        <v>0.19</v>
      </c>
      <c r="F5" s="4" t="n">
        <f aca="false">ROUND(D5*E5,2)</f>
        <v>35.91</v>
      </c>
      <c r="G5" s="4" t="n">
        <f aca="false">D5+F5</f>
        <v>224.91</v>
      </c>
      <c r="H5" s="2" t="n">
        <v>46323</v>
      </c>
    </row>
    <row r="6" customFormat="false" ht="15" hidden="false" customHeight="false" outlineLevel="0" collapsed="false">
      <c r="A6" s="6" t="s">
        <v>18</v>
      </c>
      <c r="D6" s="4" t="n">
        <f aca="false">SUM(D2:D5)</f>
        <v>2872.8</v>
      </c>
      <c r="F6" s="4" t="n">
        <f aca="false">SUM(F2:F5)</f>
        <v>545.83</v>
      </c>
      <c r="G6" s="4" t="n">
        <f aca="false">SUM(G2:G5)</f>
        <v>3418.63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2026-10-19T21:30:42Z</dcterms:created>
  <dc:creator>openpyxl</dc:creator>
  <dc:description/>
  <dc:language>en-US</dc:language>
  <cp:lastModifiedBy/>
  <dcterms:modified xsi:type="dcterms:W3CDTF">2026-10-19T21:30:42Z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