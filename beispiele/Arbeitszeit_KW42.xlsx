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KW 4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<sst xmlns="http://schemas.openxmlformats.org/spreadsheetml/2006/main" count="34" uniqueCount="24">
  <si>
    <t xml:space="preserve">Arbeitszeitnachweis KW 42 / 2026</t>
  </si>
  <si>
    <t xml:space="preserve">Datum</t>
  </si>
  <si>
    <t xml:space="preserve">Mitarbeiter</t>
  </si>
  <si>
    <t xml:space="preserve">Projekt</t>
  </si>
  <si>
    <t xml:space="preserve">Beginn</t>
  </si>
  <si>
    <t xml:space="preserve">Ende</t>
  </si>
  <si>
    <t xml:space="preserve">Pause (Min.)</t>
  </si>
  <si>
    <t xml:space="preserve">Stunden</t>
  </si>
  <si>
    <t xml:space="preserve">Tätigkeit</t>
  </si>
  <si>
    <t xml:space="preserve">Kevin</t>
  </si>
  <si>
    <t xml:space="preserve">Bad Schneider</t>
  </si>
  <si>
    <t xml:space="preserve">Altfliesen entfernt</t>
  </si>
  <si>
    <t xml:space="preserve">Mehmet</t>
  </si>
  <si>
    <t xml:space="preserve">Untergrund grundiert</t>
  </si>
  <si>
    <t xml:space="preserve">Abdichtung Dusche</t>
  </si>
  <si>
    <t xml:space="preserve">Jonas</t>
  </si>
  <si>
    <t xml:space="preserve">Küche Yilmaz</t>
  </si>
  <si>
    <t xml:space="preserve">Aufmaß und Notdienst</t>
  </si>
  <si>
    <t xml:space="preserve">Praxis Dr. Hahn</t>
  </si>
  <si>
    <t xml:space="preserve">Fugen ausgebessert</t>
  </si>
  <si>
    <t xml:space="preserve">Wand gefliest 30x60</t>
  </si>
  <si>
    <t xml:space="preserve">Boden verlegt</t>
  </si>
  <si>
    <t xml:space="preserve">Verfugt, Silikon</t>
  </si>
  <si>
    <t xml:space="preserve">Summe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</si>
</sst>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.mm\.yyyy"/>
    <numFmt numFmtId="166" formatCode="hh:mm"/>
    <numFmt numFmtId="167" formatCode="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7E3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7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5" min="4" style="0" width="9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15" hidden="false" customHeight="false" outlineLevel="0" collapsed="false">
      <c r="A4" s="3" t="n">
        <v>46307</v>
      </c>
      <c r="B4" s="4" t="s">
        <v>9</v>
      </c>
      <c r="C4" s="4" t="s">
        <v>10</v>
      </c>
      <c r="D4" s="5" t="n">
        <v>0.291666666666667</v>
      </c>
      <c r="E4" s="5" t="n">
        <v>0.645833333333333</v>
      </c>
      <c r="F4" s="0" t="n">
        <v>30</v>
      </c>
      <c r="G4" s="6" t="n">
        <f aca="false">ROUND((E4-D4)*24-F4/60,2)</f>
        <v>8</v>
      </c>
      <c r="H4" s="4" t="s">
        <v>11</v>
      </c>
    </row>
    <row r="5" customFormat="false" ht="15" hidden="false" customHeight="false" outlineLevel="0" collapsed="false">
      <c r="A5" s="3" t="n">
        <v>46307</v>
      </c>
      <c r="B5" s="4" t="s">
        <v>12</v>
      </c>
      <c r="C5" s="4" t="s">
        <v>10</v>
      </c>
      <c r="D5" s="5" t="n">
        <v>0.291666666666667</v>
      </c>
      <c r="E5" s="5" t="n">
        <v>0.625</v>
      </c>
      <c r="F5" s="0" t="n">
        <v>30</v>
      </c>
      <c r="G5" s="6" t="n">
        <f aca="false">ROUND((E5-D5)*24-F5/60,2)</f>
        <v>7.5</v>
      </c>
      <c r="H5" s="4" t="s">
        <v>13</v>
      </c>
    </row>
    <row r="6" customFormat="false" ht="15" hidden="false" customHeight="false" outlineLevel="0" collapsed="false">
      <c r="A6" s="3" t="n">
        <v>46308</v>
      </c>
      <c r="B6" s="4" t="s">
        <v>9</v>
      </c>
      <c r="C6" s="4" t="s">
        <v>10</v>
      </c>
      <c r="D6" s="5" t="n">
        <v>0.3125</v>
      </c>
      <c r="E6" s="5" t="n">
        <v>0.583333333333333</v>
      </c>
      <c r="F6" s="0" t="n">
        <v>15</v>
      </c>
      <c r="G6" s="6" t="n">
        <f aca="false">ROUND((E6-D6)*24-F6/60,2)</f>
        <v>6.25</v>
      </c>
      <c r="H6" s="4" t="s">
        <v>14</v>
      </c>
    </row>
    <row r="7" customFormat="false" ht="15" hidden="false" customHeight="false" outlineLevel="0" collapsed="false">
      <c r="A7" s="3" t="n">
        <v>46308</v>
      </c>
      <c r="B7" s="4" t="s">
        <v>15</v>
      </c>
      <c r="C7" s="4" t="s">
        <v>16</v>
      </c>
      <c r="D7" s="5" t="n">
        <v>0.541666666666667</v>
      </c>
      <c r="E7" s="5" t="n">
        <v>0.916666666666667</v>
      </c>
      <c r="F7" s="0" t="n">
        <v>45</v>
      </c>
      <c r="G7" s="6" t="n">
        <f aca="false">ROUND((E7-D7)*24-F7/60,2)</f>
        <v>8.25</v>
      </c>
      <c r="H7" s="4" t="s">
        <v>17</v>
      </c>
    </row>
    <row r="8" customFormat="false" ht="15" hidden="false" customHeight="false" outlineLevel="0" collapsed="false">
      <c r="A8" s="3" t="n">
        <v>46309</v>
      </c>
      <c r="B8" s="4" t="s">
        <v>15</v>
      </c>
      <c r="C8" s="4" t="s">
        <v>18</v>
      </c>
      <c r="D8" s="5" t="n">
        <v>0.270833333333333</v>
      </c>
      <c r="E8" s="5" t="n">
        <v>0.458333333333333</v>
      </c>
      <c r="F8" s="0" t="n">
        <v>0</v>
      </c>
      <c r="G8" s="6" t="n">
        <f aca="false">ROUND((E8-D8)*24-F8/60,2)</f>
        <v>4.5</v>
      </c>
      <c r="H8" s="4" t="s">
        <v>19</v>
      </c>
    </row>
    <row r="9" customFormat="false" ht="15" hidden="false" customHeight="false" outlineLevel="0" collapsed="false">
      <c r="A9" s="3" t="n">
        <v>46309</v>
      </c>
      <c r="B9" s="4" t="s">
        <v>12</v>
      </c>
      <c r="C9" s="4" t="s">
        <v>10</v>
      </c>
      <c r="D9" s="5" t="n">
        <v>0.25</v>
      </c>
      <c r="E9" s="5" t="n">
        <v>0.75</v>
      </c>
      <c r="F9" s="0" t="n">
        <v>45</v>
      </c>
      <c r="G9" s="6" t="n">
        <f aca="false">ROUND((E9-D9)*24-F9/60,2)</f>
        <v>11.25</v>
      </c>
      <c r="H9" s="4" t="s">
        <v>20</v>
      </c>
    </row>
    <row r="10" customFormat="false" ht="15" hidden="false" customHeight="false" outlineLevel="0" collapsed="false">
      <c r="A10" s="3" t="n">
        <v>46310</v>
      </c>
      <c r="B10" s="4" t="s">
        <v>9</v>
      </c>
      <c r="C10" s="4" t="s">
        <v>16</v>
      </c>
      <c r="D10" s="5" t="n">
        <v>0.291666666666667</v>
      </c>
      <c r="E10" s="5" t="n">
        <v>0.645833333333333</v>
      </c>
      <c r="F10" s="0" t="n">
        <v>30</v>
      </c>
      <c r="G10" s="6" t="n">
        <f aca="false">ROUND((E10-D10)*24-F10/60,2)</f>
        <v>8</v>
      </c>
      <c r="H10" s="4" t="s">
        <v>21</v>
      </c>
    </row>
    <row r="11" customFormat="false" ht="15" hidden="false" customHeight="false" outlineLevel="0" collapsed="false">
      <c r="A11" s="3" t="n">
        <v>46311</v>
      </c>
      <c r="B11" s="4" t="s">
        <v>15</v>
      </c>
      <c r="C11" s="4" t="s">
        <v>16</v>
      </c>
      <c r="D11" s="5" t="n">
        <v>0.291666666666667</v>
      </c>
      <c r="E11" s="5" t="n">
        <v>0.583333333333333</v>
      </c>
      <c r="F11" s="0" t="n">
        <v>30</v>
      </c>
      <c r="G11" s="6" t="n">
        <f aca="false">ROUND((E11-D11)*24-F11/60,2)</f>
        <v>6.5</v>
      </c>
      <c r="H11" s="4" t="s">
        <v>22</v>
      </c>
    </row>
    <row r="12" customFormat="false" ht="15" hidden="false" customHeight="false" outlineLevel="0" collapsed="false">
      <c r="A12" s="7" t="s">
        <v>23</v>
      </c>
      <c r="G12" s="6" t="n">
        <f aca="false">SUM(G4:G11)</f>
        <v>60.25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2026-10-19T21:30:42Z</dcterms:created>
  <dc:creator>openpyxl</dc:creator>
  <dc:description/>
  <dc:language>en-US</dc:language>
  <cp:lastModifiedBy/>
  <dcterms:modified xsi:type="dcterms:W3CDTF">2026-10-19T21:30:42Z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